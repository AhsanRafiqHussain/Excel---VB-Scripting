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filterPrivacy="1" codeName="ThisWorkbook"/>
  <bookViews>
    <workbookView xWindow="1170" yWindow="-90" windowWidth="12120" windowHeight="7725" tabRatio="809"/>
  </bookViews>
  <sheets>
    <sheet name="Invoice Entry" sheetId="12" r:id="rId1"/>
    <sheet name="Inventory_List" sheetId="9" r:id="rId2"/>
    <sheet name="Customers" sheetId="3" r:id="rId3"/>
    <sheet name="Invoices - Main" sheetId="2" r:id="rId4"/>
    <sheet name="Invoice Details" sheetId="4" r:id="rId5"/>
    <sheet name="Invoice" sheetId="1" r:id="rId6"/>
    <sheet name="Invoice (2)" sheetId="13" r:id="rId7"/>
    <sheet name="Sheet2" sheetId="14" r:id="rId8"/>
  </sheets>
  <definedNames>
    <definedName name="CompanyName" localSheetId="6">'Invoice (2)'!$B$1</definedName>
    <definedName name="CompanyName">Invoice!$B$1</definedName>
    <definedName name="CustomerLookup" localSheetId="6">CustomerList[Lookup]</definedName>
    <definedName name="CustomerLookup">CustomerList[Lookup]</definedName>
    <definedName name="Discount">'Invoice Entry'!$H$8</definedName>
    <definedName name="Invoice_No" localSheetId="6">InvoicesMain[Invoice '#]</definedName>
    <definedName name="Invoice_No">InvoicesMain[Invoice '#]</definedName>
    <definedName name="InvoiceNoDetails">"InvoiceDetails[Invoice No]"</definedName>
    <definedName name="_xlnm.Print_Area" localSheetId="5">Invoice!$S$13</definedName>
    <definedName name="_xlnm.Print_Area" localSheetId="6">'Invoice (2)'!$S$13</definedName>
    <definedName name="_xlnm.Print_Titles" localSheetId="2">Customers!$3:$3</definedName>
    <definedName name="_xlnm.Print_Titles" localSheetId="4">'Invoice Details'!$3:$3</definedName>
    <definedName name="_xlnm.Print_Titles" localSheetId="3">'Invoices - Main'!$3:$3</definedName>
    <definedName name="rngInvoice" localSheetId="6">'Invoice (2)'!$L$6</definedName>
    <definedName name="rngInvoice">Invoice!$L$6</definedName>
    <definedName name="valHighlight">Inventory_List!$I$1</definedName>
  </definedNames>
  <calcPr calcId="152511"/>
</workbook>
</file>

<file path=xl/calcChain.xml><?xml version="1.0" encoding="utf-8"?>
<calcChain xmlns="http://schemas.openxmlformats.org/spreadsheetml/2006/main">
  <c r="C6" i="14" l="1"/>
  <c r="C5" i="14"/>
  <c r="L26" i="13"/>
  <c r="H26" i="13"/>
  <c r="G26" i="13"/>
  <c r="F26" i="13"/>
  <c r="E26" i="13"/>
  <c r="D26" i="13"/>
  <c r="C26" i="13"/>
  <c r="H25" i="13"/>
  <c r="G25" i="13"/>
  <c r="F25" i="13"/>
  <c r="E25" i="13"/>
  <c r="D25" i="13"/>
  <c r="C25" i="13"/>
  <c r="L24" i="13"/>
  <c r="H24" i="13"/>
  <c r="G24" i="13"/>
  <c r="F24" i="13"/>
  <c r="E24" i="13"/>
  <c r="D24" i="13"/>
  <c r="C24" i="13"/>
  <c r="L23" i="13"/>
  <c r="H23" i="13"/>
  <c r="G23" i="13"/>
  <c r="F23" i="13"/>
  <c r="E23" i="13"/>
  <c r="D23" i="13"/>
  <c r="C23" i="13"/>
  <c r="K21" i="13" a="1"/>
  <c r="K21" i="13" s="1"/>
  <c r="I21" i="13" a="1"/>
  <c r="I21" i="13" s="1"/>
  <c r="H21" i="13" a="1"/>
  <c r="H21" i="13" s="1"/>
  <c r="C21" i="13" a="1"/>
  <c r="C21" i="13" s="1"/>
  <c r="B21" i="13"/>
  <c r="K20" i="13" a="1"/>
  <c r="K20" i="13" s="1"/>
  <c r="I20" i="13" a="1"/>
  <c r="I20" i="13" s="1"/>
  <c r="H20" i="13" a="1"/>
  <c r="H20" i="13" s="1"/>
  <c r="C20" i="13" a="1"/>
  <c r="C20" i="13" s="1"/>
  <c r="B20" i="13"/>
  <c r="K19" i="13" a="1"/>
  <c r="K19" i="13" s="1"/>
  <c r="I19" i="13" a="1"/>
  <c r="I19" i="13" s="1"/>
  <c r="H19" i="13" a="1"/>
  <c r="H19" i="13" s="1"/>
  <c r="C19" i="13" a="1"/>
  <c r="C19" i="13" s="1"/>
  <c r="B19" i="13"/>
  <c r="K18" i="13" a="1"/>
  <c r="K18" i="13" s="1"/>
  <c r="I18" i="13" a="1"/>
  <c r="I18" i="13" s="1"/>
  <c r="H18" i="13" a="1"/>
  <c r="H18" i="13" s="1"/>
  <c r="C18" i="13" a="1"/>
  <c r="C18" i="13" s="1"/>
  <c r="B18" i="13"/>
  <c r="K17" i="13" a="1"/>
  <c r="K17" i="13" s="1"/>
  <c r="I17" i="13" a="1"/>
  <c r="I17" i="13" s="1"/>
  <c r="H17" i="13" a="1"/>
  <c r="H17" i="13" s="1"/>
  <c r="C17" i="13" a="1"/>
  <c r="C17" i="13" s="1"/>
  <c r="B17" i="13"/>
  <c r="K16" i="13" a="1"/>
  <c r="K16" i="13" s="1"/>
  <c r="I16" i="13" a="1"/>
  <c r="I16" i="13" s="1"/>
  <c r="H16" i="13" a="1"/>
  <c r="H16" i="13" s="1"/>
  <c r="C16" i="13" a="1"/>
  <c r="C16" i="13" s="1"/>
  <c r="B16" i="13"/>
  <c r="K15" i="13" a="1"/>
  <c r="K15" i="13" s="1"/>
  <c r="I15" i="13" a="1"/>
  <c r="I15" i="13" s="1"/>
  <c r="H15" i="13"/>
  <c r="C15" i="13" a="1"/>
  <c r="C15" i="13" s="1"/>
  <c r="B15" i="13"/>
  <c r="K14" i="13" a="1"/>
  <c r="K14" i="13" s="1"/>
  <c r="I14" i="13" a="1"/>
  <c r="I14" i="13" s="1"/>
  <c r="H14" i="13"/>
  <c r="C14" i="13" a="1"/>
  <c r="C14" i="13" s="1"/>
  <c r="B14" i="13"/>
  <c r="K13" i="13" a="1"/>
  <c r="K13" i="13" s="1"/>
  <c r="I13" i="13" a="1"/>
  <c r="I13" i="13" s="1"/>
  <c r="H13" i="13"/>
  <c r="C13" i="13" a="1"/>
  <c r="C13" i="13" s="1"/>
  <c r="B13" i="13"/>
  <c r="K12" i="13" a="1"/>
  <c r="K12" i="13" s="1"/>
  <c r="I12" i="13" a="1"/>
  <c r="I12" i="13" s="1"/>
  <c r="H12" i="13"/>
  <c r="C12" i="13" a="1"/>
  <c r="C12" i="13" s="1"/>
  <c r="B12" i="13"/>
  <c r="K11" i="13" a="1"/>
  <c r="K11" i="13" s="1"/>
  <c r="I11" i="13" a="1"/>
  <c r="I11" i="13" s="1"/>
  <c r="H11" i="13"/>
  <c r="C11" i="13" a="1"/>
  <c r="C11" i="13" s="1"/>
  <c r="B11" i="13"/>
  <c r="K10" i="13" a="1"/>
  <c r="K10" i="13" s="1"/>
  <c r="I10" i="13" a="1"/>
  <c r="I10" i="13" s="1"/>
  <c r="H10" i="13"/>
  <c r="C10" i="13" a="1"/>
  <c r="C10" i="13" s="1"/>
  <c r="B10" i="13"/>
  <c r="L7" i="13"/>
  <c r="L18" i="13" l="1"/>
  <c r="L10" i="13"/>
  <c r="L11" i="13"/>
  <c r="L12" i="13"/>
  <c r="L13" i="13"/>
  <c r="L14" i="13"/>
  <c r="L15" i="13"/>
  <c r="L19" i="13"/>
  <c r="L16" i="13"/>
  <c r="L20" i="13"/>
  <c r="L17" i="13"/>
  <c r="L21" i="13"/>
  <c r="D9" i="12"/>
  <c r="I21" i="12"/>
  <c r="L22" i="13" l="1"/>
  <c r="L25" i="13" s="1"/>
  <c r="L27" i="13" s="1"/>
  <c r="H11" i="1"/>
  <c r="H12" i="1"/>
  <c r="C12" i="1" a="1"/>
  <c r="C12" i="1" s="1"/>
  <c r="C11" i="1" a="1"/>
  <c r="C11" i="1" s="1"/>
  <c r="B12" i="1"/>
  <c r="B11" i="1"/>
  <c r="C15" i="1" a="1"/>
  <c r="C15" i="1" s="1"/>
  <c r="K11" i="1" a="1"/>
  <c r="K11" i="1" s="1"/>
  <c r="K12" i="1" a="1"/>
  <c r="K12" i="1" s="1"/>
  <c r="K13" i="1" a="1"/>
  <c r="K13" i="1" s="1"/>
  <c r="K14" i="1" a="1"/>
  <c r="K14" i="1" s="1"/>
  <c r="K15" i="1" a="1"/>
  <c r="K15" i="1" s="1"/>
  <c r="I11" i="1" a="1"/>
  <c r="I11" i="1" s="1"/>
  <c r="I12" i="1" a="1"/>
  <c r="I12" i="1" s="1"/>
  <c r="I13" i="1" a="1"/>
  <c r="I13" i="1" s="1"/>
  <c r="I14" i="1" a="1"/>
  <c r="I14" i="1" s="1"/>
  <c r="I15" i="1" a="1"/>
  <c r="I15" i="1" s="1"/>
  <c r="H13" i="1"/>
  <c r="H14" i="1"/>
  <c r="H15" i="1"/>
  <c r="C13" i="1" a="1"/>
  <c r="C13" i="1" s="1"/>
  <c r="C14" i="1" a="1"/>
  <c r="C14" i="1" s="1"/>
  <c r="H4" i="2"/>
  <c r="J4" i="2" s="1"/>
  <c r="H5" i="2"/>
  <c r="J5" i="2" s="1"/>
  <c r="H6" i="2"/>
  <c r="J6" i="2" s="1"/>
  <c r="H7" i="2"/>
  <c r="J7" i="2" s="1"/>
  <c r="H8" i="2"/>
  <c r="J8" i="2" s="1"/>
  <c r="H9" i="2"/>
  <c r="J9" i="2" s="1"/>
  <c r="H10" i="2"/>
  <c r="J10" i="2" s="1"/>
  <c r="H11" i="2"/>
  <c r="J11" i="2" s="1"/>
  <c r="H12" i="2"/>
  <c r="J12" i="2" s="1"/>
  <c r="H13" i="2"/>
  <c r="J13" i="2" s="1"/>
  <c r="H14" i="2"/>
  <c r="J14" i="2" s="1"/>
  <c r="H15" i="2"/>
  <c r="J15" i="2" s="1"/>
  <c r="H16" i="2"/>
  <c r="J16" i="2" s="1"/>
  <c r="H17" i="2"/>
  <c r="J17" i="2" s="1"/>
  <c r="H18" i="2"/>
  <c r="J18" i="2" s="1"/>
  <c r="H19" i="2"/>
  <c r="J19" i="2" s="1"/>
  <c r="H20" i="2"/>
  <c r="J20" i="2" s="1"/>
  <c r="H21" i="2"/>
  <c r="J21" i="2" s="1"/>
  <c r="H22" i="2"/>
  <c r="J22" i="2" s="1"/>
  <c r="H23" i="2"/>
  <c r="J23" i="2" s="1"/>
  <c r="H24" i="2"/>
  <c r="J24" i="2" s="1"/>
  <c r="H25" i="2"/>
  <c r="J25" i="2" s="1"/>
  <c r="H26" i="2"/>
  <c r="J26" i="2" s="1"/>
  <c r="H27" i="2"/>
  <c r="J27" i="2" s="1"/>
  <c r="H28" i="2"/>
  <c r="J28" i="2" s="1"/>
  <c r="H29" i="2"/>
  <c r="J29" i="2" s="1"/>
  <c r="H30" i="2"/>
  <c r="J30" i="2" s="1"/>
  <c r="H31" i="2"/>
  <c r="J31" i="2" s="1"/>
  <c r="H32" i="2"/>
  <c r="J32" i="2" s="1"/>
  <c r="H33" i="2"/>
  <c r="J33" i="2" s="1"/>
  <c r="H34" i="2"/>
  <c r="J34" i="2" s="1"/>
  <c r="H35" i="2"/>
  <c r="J35" i="2" s="1"/>
  <c r="H36" i="2"/>
  <c r="J36" i="2" s="1"/>
  <c r="H37" i="2"/>
  <c r="J37" i="2" s="1"/>
  <c r="H38" i="2"/>
  <c r="J38" i="2" s="1"/>
  <c r="H39" i="2"/>
  <c r="J39" i="2" s="1"/>
  <c r="H40" i="2"/>
  <c r="J40" i="2" s="1"/>
  <c r="H41" i="2"/>
  <c r="J41" i="2" s="1"/>
  <c r="H42" i="2"/>
  <c r="J42" i="2" s="1"/>
  <c r="H43" i="2"/>
  <c r="J43" i="2" s="1"/>
  <c r="H44" i="2"/>
  <c r="J44" i="2" s="1"/>
  <c r="H45" i="2"/>
  <c r="J45" i="2" s="1"/>
  <c r="H46" i="2"/>
  <c r="J46" i="2" s="1"/>
  <c r="H47" i="2"/>
  <c r="J47" i="2" s="1"/>
  <c r="H48" i="2"/>
  <c r="J48" i="2" s="1"/>
  <c r="H49" i="2"/>
  <c r="J49" i="2" s="1"/>
  <c r="H50" i="2"/>
  <c r="J50" i="2" s="1"/>
  <c r="H51" i="2"/>
  <c r="J51" i="2" s="1"/>
  <c r="H52" i="2"/>
  <c r="J52" i="2" s="1"/>
  <c r="H53" i="2"/>
  <c r="J53" i="2" s="1"/>
  <c r="H54" i="2"/>
  <c r="J54" i="2" s="1"/>
  <c r="H55" i="2"/>
  <c r="J55" i="2" s="1"/>
  <c r="H56" i="2"/>
  <c r="J56" i="2" s="1"/>
  <c r="H57" i="2"/>
  <c r="J57" i="2" s="1"/>
  <c r="H58" i="2"/>
  <c r="J58" i="2" s="1"/>
  <c r="H59" i="2"/>
  <c r="J59" i="2" s="1"/>
  <c r="H60" i="2"/>
  <c r="J60" i="2" s="1"/>
  <c r="K4" i="12"/>
  <c r="K16" i="1" a="1"/>
  <c r="K16" i="1" s="1"/>
  <c r="K17" i="1" a="1"/>
  <c r="K17" i="1" s="1"/>
  <c r="K18" i="1" a="1"/>
  <c r="K18" i="1" s="1"/>
  <c r="I16" i="1" a="1"/>
  <c r="I16" i="1" s="1"/>
  <c r="I17" i="1" a="1"/>
  <c r="I17" i="1" s="1"/>
  <c r="I18" i="1" a="1"/>
  <c r="I18" i="1" s="1"/>
  <c r="I19" i="1" a="1"/>
  <c r="I19" i="1" s="1"/>
  <c r="H17" i="1" a="1"/>
  <c r="H17" i="1" s="1"/>
  <c r="H18" i="1" a="1"/>
  <c r="H18" i="1" s="1"/>
  <c r="C17" i="1" a="1"/>
  <c r="C17" i="1" s="1"/>
  <c r="C18" i="1" a="1"/>
  <c r="C18" i="1" s="1"/>
  <c r="B10" i="1"/>
  <c r="B13" i="1"/>
  <c r="B14" i="1"/>
  <c r="B15" i="1"/>
  <c r="B16" i="1"/>
  <c r="B17" i="1"/>
  <c r="B18" i="1"/>
  <c r="B19" i="1"/>
  <c r="B20" i="1"/>
  <c r="B21" i="1"/>
  <c r="H10" i="1"/>
  <c r="H16" i="1" a="1"/>
  <c r="H16" i="1" s="1"/>
  <c r="C10" i="1" a="1"/>
  <c r="C10" i="1" s="1"/>
  <c r="C16" i="1" a="1"/>
  <c r="C16" i="1" s="1"/>
  <c r="D19" i="12" l="1"/>
  <c r="D18" i="12"/>
  <c r="D17" i="12"/>
  <c r="D16" i="12"/>
  <c r="D15" i="12"/>
  <c r="G19" i="12"/>
  <c r="G18" i="12"/>
  <c r="G17" i="12"/>
  <c r="G16" i="12"/>
  <c r="C19" i="12" l="1"/>
  <c r="C18" i="12"/>
  <c r="C17" i="12"/>
  <c r="C16" i="12"/>
  <c r="C15" i="12"/>
  <c r="C14" i="12"/>
  <c r="C13" i="12"/>
  <c r="C12" i="12"/>
  <c r="C11" i="12"/>
  <c r="C10" i="12"/>
  <c r="C9" i="12"/>
  <c r="C8" i="12"/>
  <c r="G15" i="12"/>
  <c r="G14" i="12"/>
  <c r="G11" i="12"/>
  <c r="G10" i="12"/>
  <c r="G12" i="12"/>
  <c r="G13" i="12"/>
  <c r="G9" i="12"/>
  <c r="G8" i="12"/>
  <c r="I8" i="12" s="1"/>
  <c r="D14" i="12"/>
  <c r="D13" i="12"/>
  <c r="D12" i="12"/>
  <c r="D11" i="12"/>
  <c r="D10" i="12"/>
  <c r="D8" i="12"/>
  <c r="C23" i="1"/>
  <c r="H26" i="1"/>
  <c r="G26" i="1"/>
  <c r="F26" i="1"/>
  <c r="E26" i="1"/>
  <c r="D26" i="1"/>
  <c r="C26" i="1"/>
  <c r="H25" i="1"/>
  <c r="G25" i="1"/>
  <c r="F25" i="1"/>
  <c r="E25" i="1"/>
  <c r="D25" i="1"/>
  <c r="C25" i="1"/>
  <c r="H24" i="1"/>
  <c r="G24" i="1"/>
  <c r="F24" i="1"/>
  <c r="E24" i="1"/>
  <c r="D24" i="1"/>
  <c r="C24" i="1"/>
  <c r="H23" i="1"/>
  <c r="G23" i="1"/>
  <c r="F23" i="1"/>
  <c r="E23" i="1"/>
  <c r="D23" i="1"/>
  <c r="L26" i="1"/>
  <c r="L24" i="1"/>
  <c r="L23" i="1"/>
  <c r="E61" i="2"/>
  <c r="F61" i="2"/>
  <c r="F4" i="12"/>
  <c r="H61" i="2" l="1"/>
  <c r="J61" i="2"/>
  <c r="F6" i="12"/>
  <c r="F5" i="12"/>
  <c r="D5" i="12"/>
  <c r="B8" i="3"/>
  <c r="B7" i="3"/>
  <c r="B6" i="3"/>
  <c r="I19" i="12"/>
  <c r="I18" i="12"/>
  <c r="I17" i="12"/>
  <c r="I16" i="12"/>
  <c r="I15" i="12"/>
  <c r="I14" i="12"/>
  <c r="I13" i="12"/>
  <c r="I12" i="12"/>
  <c r="I11" i="12"/>
  <c r="I10" i="12"/>
  <c r="I9" i="12"/>
  <c r="K20" i="1" a="1"/>
  <c r="K20" i="1" s="1"/>
  <c r="I20" i="1" a="1"/>
  <c r="I20" i="1" s="1"/>
  <c r="H20" i="1" a="1"/>
  <c r="H20" i="1" s="1"/>
  <c r="C20" i="1" a="1"/>
  <c r="C20" i="1" s="1"/>
  <c r="C6" i="13" l="1"/>
  <c r="C6" i="1"/>
  <c r="I20" i="12"/>
  <c r="I23" i="12" s="1"/>
  <c r="I25" i="12" s="1"/>
  <c r="B4" i="9"/>
  <c r="B5" i="9"/>
  <c r="B6" i="9"/>
  <c r="B7" i="9"/>
  <c r="B8" i="9"/>
  <c r="B9" i="9"/>
  <c r="H9" i="9" l="1"/>
  <c r="H8" i="9"/>
  <c r="H7" i="9"/>
  <c r="H6" i="9"/>
  <c r="H5" i="9"/>
  <c r="H4" i="9"/>
  <c r="C61" i="2" l="1"/>
  <c r="L7" i="1"/>
  <c r="K21" i="1" l="1" a="1"/>
  <c r="K21" i="1" s="1"/>
  <c r="I21" i="1" a="1"/>
  <c r="I21" i="1" s="1"/>
  <c r="H21" i="1" a="1"/>
  <c r="H21" i="1" s="1"/>
  <c r="C21" i="1" a="1"/>
  <c r="C21" i="1" s="1"/>
  <c r="C9" i="3" l="1"/>
  <c r="G61" i="2"/>
  <c r="I61" i="2"/>
  <c r="K19" i="1" l="1" a="1"/>
  <c r="K19" i="1" s="1"/>
  <c r="H19" i="1" a="1"/>
  <c r="H19" i="1" s="1"/>
  <c r="L15" i="1" l="1"/>
  <c r="L13" i="1"/>
  <c r="L11" i="1"/>
  <c r="L20" i="1"/>
  <c r="L16" i="1"/>
  <c r="L14" i="1"/>
  <c r="L12" i="1"/>
  <c r="L19" i="1"/>
  <c r="L18" i="1"/>
  <c r="L17" i="1"/>
  <c r="L21" i="1"/>
  <c r="K10" i="1" l="1" a="1"/>
  <c r="K10" i="1" s="1"/>
  <c r="I10" i="1" a="1"/>
  <c r="I10" i="1" s="1"/>
  <c r="L10" i="1" l="1"/>
  <c r="L22" i="1" s="1"/>
  <c r="L25" i="1" s="1"/>
  <c r="L27" i="1" s="1"/>
  <c r="B5" i="3" l="1"/>
  <c r="B4" i="3"/>
  <c r="C19" i="1" a="1"/>
  <c r="C19" i="1" s="1"/>
  <c r="G8" i="13" l="1"/>
  <c r="G7" i="13"/>
  <c r="C7" i="1"/>
  <c r="C7" i="13"/>
  <c r="G6" i="13"/>
  <c r="C8" i="13"/>
  <c r="G8" i="1"/>
  <c r="G6" i="1"/>
  <c r="G7" i="1"/>
  <c r="C8" i="1"/>
</calcChain>
</file>

<file path=xl/sharedStrings.xml><?xml version="1.0" encoding="utf-8"?>
<sst xmlns="http://schemas.openxmlformats.org/spreadsheetml/2006/main" count="198" uniqueCount="103">
  <si>
    <t>Phone</t>
  </si>
  <si>
    <t>TOTAL</t>
  </si>
  <si>
    <t>Company Name</t>
  </si>
  <si>
    <t>Contact Name</t>
  </si>
  <si>
    <t>Address</t>
  </si>
  <si>
    <t>City</t>
  </si>
  <si>
    <t>State</t>
  </si>
  <si>
    <t>Description</t>
  </si>
  <si>
    <t>Notes</t>
  </si>
  <si>
    <t>Lookup</t>
  </si>
  <si>
    <t>Fax</t>
  </si>
  <si>
    <t>Bill To:</t>
  </si>
  <si>
    <t>Address:</t>
  </si>
  <si>
    <t>Phone:</t>
  </si>
  <si>
    <t>Invoice Date:</t>
  </si>
  <si>
    <t>Deposit Received</t>
  </si>
  <si>
    <t>Invoice Subtotal</t>
  </si>
  <si>
    <t>Other</t>
  </si>
  <si>
    <t>someone@example.com</t>
  </si>
  <si>
    <t>Invoice Date</t>
  </si>
  <si>
    <t>Qty</t>
  </si>
  <si>
    <t>Price</t>
  </si>
  <si>
    <t>Discount</t>
  </si>
  <si>
    <t>Unit Price</t>
  </si>
  <si>
    <t>Street Address</t>
  </si>
  <si>
    <t>P:</t>
  </si>
  <si>
    <t>Phone Number</t>
  </si>
  <si>
    <t>Email</t>
  </si>
  <si>
    <t>Customers</t>
  </si>
  <si>
    <t>Invoices</t>
  </si>
  <si>
    <t>Invoice Details</t>
  </si>
  <si>
    <t>Item #</t>
  </si>
  <si>
    <t>Company #</t>
  </si>
  <si>
    <t>Invoice #</t>
  </si>
  <si>
    <t>Invoice Total</t>
  </si>
  <si>
    <t>Total</t>
  </si>
  <si>
    <t>Detail Total</t>
  </si>
  <si>
    <t>Invoice #:</t>
  </si>
  <si>
    <t>Company</t>
  </si>
  <si>
    <t>Totals</t>
  </si>
  <si>
    <t>432-555-0123</t>
  </si>
  <si>
    <t>Deposit</t>
  </si>
  <si>
    <t>company name</t>
  </si>
  <si>
    <t>Email:</t>
  </si>
  <si>
    <t>Sanjay Patel</t>
  </si>
  <si>
    <t>123456</t>
  </si>
  <si>
    <t>098765</t>
  </si>
  <si>
    <t>432-555-0178</t>
  </si>
  <si>
    <t>432-555-0189</t>
  </si>
  <si>
    <t>432-555-0187</t>
  </si>
  <si>
    <t>Inventory List</t>
  </si>
  <si>
    <t>Column1</t>
  </si>
  <si>
    <t>Inventory ID</t>
  </si>
  <si>
    <t>Name</t>
  </si>
  <si>
    <t>Quantity in Stock</t>
  </si>
  <si>
    <t>Inventory Value</t>
  </si>
  <si>
    <t>IN0001</t>
  </si>
  <si>
    <t>Desc 1</t>
  </si>
  <si>
    <t>IN0002</t>
  </si>
  <si>
    <t>Item 2</t>
  </si>
  <si>
    <t>Desc 2</t>
  </si>
  <si>
    <t>IN0003</t>
  </si>
  <si>
    <t>Item 3</t>
  </si>
  <si>
    <t>Desc 3</t>
  </si>
  <si>
    <t>IN0004</t>
  </si>
  <si>
    <t>Item 4</t>
  </si>
  <si>
    <t>Desc 4</t>
  </si>
  <si>
    <t>IN0005</t>
  </si>
  <si>
    <t>Item 5</t>
  </si>
  <si>
    <t>Desc 5</t>
  </si>
  <si>
    <t>IN0006</t>
  </si>
  <si>
    <t>Item 6</t>
  </si>
  <si>
    <t>Desc 6</t>
  </si>
  <si>
    <t>Mobile</t>
  </si>
  <si>
    <t>Mobile:</t>
  </si>
  <si>
    <t>QTY</t>
  </si>
  <si>
    <t>Invoice</t>
  </si>
  <si>
    <t>Balance</t>
  </si>
  <si>
    <t>Description:</t>
  </si>
  <si>
    <t>Date</t>
  </si>
  <si>
    <t>Note</t>
  </si>
  <si>
    <t>Invoice#</t>
  </si>
  <si>
    <t/>
  </si>
  <si>
    <t>Go To Total</t>
  </si>
  <si>
    <t>New Japan Autos</t>
  </si>
  <si>
    <t>Ilyas</t>
  </si>
  <si>
    <t>Karachi</t>
  </si>
  <si>
    <t>Sindh</t>
  </si>
  <si>
    <t>Punjab Auots</t>
  </si>
  <si>
    <t>Khi</t>
  </si>
  <si>
    <t>N1</t>
  </si>
  <si>
    <t>N2</t>
  </si>
  <si>
    <t>AGS-BAT-12V</t>
  </si>
  <si>
    <t>Hello</t>
  </si>
  <si>
    <t>Payment Received</t>
  </si>
  <si>
    <t>Nayar Electornics</t>
  </si>
  <si>
    <t>nayar sahab</t>
  </si>
  <si>
    <t>ABC Road</t>
  </si>
  <si>
    <t>Lahor</t>
  </si>
  <si>
    <t>Punjab</t>
  </si>
  <si>
    <t>45646</t>
  </si>
  <si>
    <t>nayar@gmailc</t>
  </si>
  <si>
    <t>Sakkhar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</si>
</sst>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7" formatCode="&quot;$&quot;#,##0.00_);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@\ \ "/>
    <numFmt numFmtId="165" formatCode="&quot;$&quot;#,##0.00"/>
    <numFmt numFmtId="166" formatCode="00000"/>
    <numFmt numFmtId="167" formatCode="_)@\ \ "/>
    <numFmt numFmtId="168" formatCode="_)#;_)#;_)#;_)@"/>
    <numFmt numFmtId="169" formatCode="#_)"/>
    <numFmt numFmtId="170" formatCode=";;;"/>
    <numFmt numFmtId="171" formatCode="\-"/>
    <numFmt numFmtId="172" formatCode="dd/mmm/yyyy"/>
  </numFmts>
  <fonts count="32" x14ac:knownFonts="1">
    <font>
      <sz val="10"/>
      <color theme="4" tint="-0.2499465926084170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name val="Arial"/>
      <family val="1"/>
      <scheme val="major"/>
    </font>
    <font>
      <sz val="8"/>
      <name val="Calibri"/>
      <family val="2"/>
      <scheme val="minor"/>
    </font>
    <font>
      <sz val="11"/>
      <name val="Calibri"/>
      <family val="1"/>
      <scheme val="minor"/>
    </font>
    <font>
      <sz val="9"/>
      <color theme="4" tint="-0.499984740745262"/>
      <name val="Calibri"/>
      <family val="2"/>
      <scheme val="minor"/>
    </font>
    <font>
      <sz val="9"/>
      <name val="Calibri"/>
      <family val="2"/>
      <scheme val="minor"/>
    </font>
    <font>
      <sz val="10"/>
      <color theme="4" tint="-0.249977111117893"/>
      <name val="Calibri"/>
      <family val="2"/>
      <scheme val="minor"/>
    </font>
    <font>
      <sz val="14"/>
      <color theme="4" tint="-0.24994659260841701"/>
      <name val="Calibri"/>
      <family val="2"/>
    </font>
    <font>
      <sz val="16"/>
      <color theme="4" tint="-0.24994659260841701"/>
      <name val="Calibri"/>
      <family val="2"/>
    </font>
    <font>
      <b/>
      <sz val="25"/>
      <color theme="0"/>
      <name val="Calibri"/>
      <family val="2"/>
      <scheme val="minor"/>
    </font>
    <font>
      <sz val="9"/>
      <color theme="4" tint="-0.499984740745262"/>
      <name val="Arial"/>
      <family val="2"/>
      <scheme val="major"/>
    </font>
    <font>
      <sz val="14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sz val="10"/>
      <color theme="4" tint="-0.24994659260841701"/>
      <name val="Calibri"/>
      <family val="2"/>
      <scheme val="minor"/>
    </font>
    <font>
      <sz val="10"/>
      <color theme="2" tint="-0.749992370372631"/>
      <name val="Calibri"/>
      <family val="2"/>
      <scheme val="minor"/>
    </font>
    <font>
      <sz val="8"/>
      <color rgb="FF000000"/>
      <name val="Tahoma"/>
      <family val="2"/>
    </font>
    <font>
      <sz val="10"/>
      <color theme="1"/>
      <name val="Calibri"/>
      <family val="2"/>
      <scheme val="minor"/>
    </font>
    <font>
      <b/>
      <sz val="48"/>
      <color theme="8"/>
      <name val="Arial"/>
      <family val="2"/>
      <scheme val="major"/>
    </font>
    <font>
      <b/>
      <sz val="28"/>
      <color theme="4" tint="-0.499984740745262"/>
      <name val="Arial"/>
      <family val="2"/>
      <scheme val="major"/>
    </font>
    <font>
      <sz val="12"/>
      <color theme="1"/>
      <name val="Arial"/>
      <family val="2"/>
      <scheme val="major"/>
    </font>
    <font>
      <b/>
      <sz val="34"/>
      <color theme="4" tint="-0.249977111117893"/>
      <name val="Arial"/>
      <family val="2"/>
      <scheme val="major"/>
    </font>
    <font>
      <sz val="11"/>
      <color theme="4" tint="-0.24994659260841701"/>
      <name val="Calibri"/>
      <family val="2"/>
      <scheme val="minor"/>
    </font>
    <font>
      <sz val="14"/>
      <name val="Calibri"/>
      <family val="2"/>
      <scheme val="minor"/>
    </font>
    <font>
      <sz val="12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b/>
      <sz val="16"/>
      <color theme="4" tint="-0.2499465926084170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6"/>
      </left>
      <right/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/>
      <diagonal/>
    </border>
  </borders>
  <cellStyleXfs count="9">
    <xf numFmtId="0" fontId="0" fillId="0" borderId="0">
      <alignment vertical="top" wrapText="1"/>
    </xf>
    <xf numFmtId="0" fontId="17" fillId="0" borderId="0" applyNumberFormat="0" applyFill="0" applyBorder="0" applyAlignment="0" applyProtection="0"/>
    <xf numFmtId="0" fontId="12" fillId="0" borderId="0" applyNumberFormat="0" applyFill="0" applyBorder="0" applyProtection="0">
      <alignment vertical="center"/>
    </xf>
    <xf numFmtId="0" fontId="11" fillId="0" borderId="0" applyNumberFormat="0" applyFill="0" applyBorder="0" applyAlignment="0" applyProtection="0"/>
    <xf numFmtId="9" fontId="3" fillId="0" borderId="0" applyFont="0" applyFill="0" applyBorder="0" applyAlignment="0" applyProtection="0"/>
    <xf numFmtId="0" fontId="17" fillId="0" borderId="0" applyNumberFormat="0" applyFill="0" applyBorder="0" applyAlignment="0" applyProtection="0">
      <alignment vertical="top" wrapText="1"/>
    </xf>
    <xf numFmtId="0" fontId="2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00">
    <xf numFmtId="0" fontId="0" fillId="0" borderId="0" xfId="0">
      <alignment vertical="top" wrapText="1"/>
    </xf>
    <xf numFmtId="0" fontId="0" fillId="0" borderId="0" xfId="0" applyFont="1" applyProtection="1">
      <alignment vertical="top" wrapText="1"/>
    </xf>
    <xf numFmtId="0" fontId="0" fillId="0" borderId="0" xfId="0" applyFont="1" applyProtection="1">
      <alignment vertical="top" wrapText="1"/>
    </xf>
    <xf numFmtId="49" fontId="0" fillId="0" borderId="0" xfId="0" applyNumberFormat="1" applyFont="1" applyProtection="1">
      <alignment vertical="top" wrapText="1"/>
    </xf>
    <xf numFmtId="166" fontId="0" fillId="0" borderId="0" xfId="0" applyNumberFormat="1" applyFont="1" applyProtection="1">
      <alignment vertical="top" wrapText="1"/>
    </xf>
    <xf numFmtId="165" fontId="0" fillId="0" borderId="0" xfId="0" applyNumberFormat="1" applyFont="1" applyProtection="1">
      <alignment vertical="top" wrapText="1"/>
    </xf>
    <xf numFmtId="0" fontId="12" fillId="0" borderId="0" xfId="2" applyProtection="1">
      <alignment vertical="center"/>
    </xf>
    <xf numFmtId="0" fontId="7" fillId="0" borderId="0" xfId="0" applyFont="1" applyAlignment="1" applyProtection="1">
      <alignment vertical="center"/>
    </xf>
    <xf numFmtId="41" fontId="0" fillId="0" borderId="0" xfId="0" applyNumberFormat="1" applyFont="1" applyFill="1" applyBorder="1" applyProtection="1">
      <alignment vertical="top" wrapText="1"/>
    </xf>
    <xf numFmtId="0" fontId="0" fillId="0" borderId="0" xfId="0" applyNumberFormat="1" applyFont="1" applyFill="1" applyBorder="1" applyAlignment="1" applyProtection="1">
      <alignment horizontal="left" indent="1"/>
    </xf>
    <xf numFmtId="0" fontId="0" fillId="0" borderId="0" xfId="0" applyProtection="1">
      <alignment vertical="top" wrapText="1"/>
    </xf>
    <xf numFmtId="0" fontId="3" fillId="0" borderId="0" xfId="0" applyFont="1" applyProtection="1">
      <alignment vertical="top" wrapText="1"/>
    </xf>
    <xf numFmtId="0" fontId="3" fillId="0" borderId="0" xfId="0" applyFont="1" applyAlignment="1" applyProtection="1">
      <alignment vertical="center"/>
    </xf>
    <xf numFmtId="0" fontId="4" fillId="0" borderId="0" xfId="0" applyFont="1" applyAlignment="1" applyProtection="1"/>
    <xf numFmtId="0" fontId="3" fillId="0" borderId="0" xfId="0" applyFont="1" applyAlignment="1" applyProtection="1"/>
    <xf numFmtId="0" fontId="0" fillId="0" borderId="0" xfId="0" applyFont="1" applyFill="1" applyBorder="1" applyAlignment="1" applyProtection="1">
      <alignment vertical="center"/>
    </xf>
    <xf numFmtId="167" fontId="0" fillId="0" borderId="0" xfId="0" applyNumberFormat="1" applyFont="1" applyFill="1" applyBorder="1" applyAlignment="1" applyProtection="1">
      <alignment vertical="center"/>
    </xf>
    <xf numFmtId="167" fontId="0" fillId="0" borderId="0" xfId="0" applyNumberFormat="1" applyFont="1" applyFill="1" applyBorder="1" applyProtection="1">
      <alignment vertical="top" wrapText="1"/>
    </xf>
    <xf numFmtId="0" fontId="0" fillId="0" borderId="0" xfId="0" applyFont="1" applyFill="1" applyBorder="1" applyProtection="1">
      <alignment vertical="top" wrapText="1"/>
    </xf>
    <xf numFmtId="0" fontId="0" fillId="0" borderId="0" xfId="0" applyFont="1" applyFill="1" applyBorder="1" applyAlignment="1" applyProtection="1">
      <alignment horizontal="left"/>
    </xf>
    <xf numFmtId="0" fontId="0" fillId="0" borderId="0" xfId="0" applyNumberFormat="1" applyFont="1" applyFill="1" applyBorder="1" applyAlignment="1" applyProtection="1">
      <alignment horizontal="left"/>
    </xf>
    <xf numFmtId="0" fontId="17" fillId="0" borderId="0" xfId="1" applyFill="1" applyBorder="1" applyProtection="1"/>
    <xf numFmtId="0" fontId="0" fillId="0" borderId="0" xfId="0" applyNumberFormat="1" applyFont="1" applyFill="1" applyBorder="1" applyAlignment="1" applyProtection="1">
      <alignment horizontal="left" vertical="center"/>
    </xf>
    <xf numFmtId="168" fontId="0" fillId="0" borderId="0" xfId="0" applyNumberFormat="1" applyFont="1" applyFill="1" applyBorder="1" applyAlignment="1" applyProtection="1">
      <alignment horizontal="left" vertical="center"/>
    </xf>
    <xf numFmtId="7" fontId="0" fillId="0" borderId="0" xfId="0" applyNumberFormat="1" applyFont="1" applyFill="1" applyBorder="1" applyAlignment="1" applyProtection="1">
      <alignment vertical="center" wrapText="1"/>
    </xf>
    <xf numFmtId="0" fontId="5" fillId="5" borderId="0" xfId="0" applyFont="1" applyFill="1" applyAlignment="1" applyProtection="1">
      <alignment vertical="center"/>
    </xf>
    <xf numFmtId="0" fontId="0" fillId="4" borderId="0" xfId="0" applyFill="1" applyProtection="1">
      <alignment vertical="top" wrapText="1"/>
    </xf>
    <xf numFmtId="0" fontId="3" fillId="4" borderId="0" xfId="0" applyFont="1" applyFill="1" applyProtection="1">
      <alignment vertical="top" wrapText="1"/>
    </xf>
    <xf numFmtId="0" fontId="3" fillId="5" borderId="0" xfId="0" applyFont="1" applyFill="1" applyProtection="1">
      <alignment vertical="top" wrapText="1"/>
    </xf>
    <xf numFmtId="0" fontId="6" fillId="4" borderId="0" xfId="0" applyFont="1" applyFill="1" applyAlignment="1" applyProtection="1">
      <alignment horizontal="left" indent="3"/>
    </xf>
    <xf numFmtId="0" fontId="6" fillId="4" borderId="0" xfId="0" applyFont="1" applyFill="1" applyAlignment="1" applyProtection="1">
      <alignment horizontal="right"/>
    </xf>
    <xf numFmtId="0" fontId="6" fillId="4" borderId="0" xfId="0" applyFont="1" applyFill="1" applyAlignment="1" applyProtection="1"/>
    <xf numFmtId="0" fontId="6" fillId="4" borderId="0" xfId="0" applyFont="1" applyFill="1" applyAlignment="1" applyProtection="1">
      <alignment horizontal="left" indent="2"/>
    </xf>
    <xf numFmtId="0" fontId="0" fillId="4" borderId="0" xfId="0" applyFill="1" applyAlignment="1" applyProtection="1">
      <alignment horizontal="left" vertical="top" wrapText="1" indent="1"/>
    </xf>
    <xf numFmtId="0" fontId="6" fillId="4" borderId="0" xfId="0" applyFont="1" applyFill="1" applyAlignment="1" applyProtection="1">
      <alignment horizontal="left" vertical="center" indent="1"/>
    </xf>
    <xf numFmtId="0" fontId="6" fillId="4" borderId="0" xfId="0" applyFont="1" applyFill="1" applyAlignment="1" applyProtection="1">
      <alignment horizontal="left" indent="1"/>
    </xf>
    <xf numFmtId="0" fontId="14" fillId="0" borderId="0" xfId="0" applyFont="1" applyAlignment="1" applyProtection="1">
      <alignment horizontal="left"/>
    </xf>
    <xf numFmtId="167" fontId="15" fillId="0" borderId="3" xfId="0" applyNumberFormat="1" applyFont="1" applyBorder="1" applyAlignment="1" applyProtection="1">
      <alignment vertical="center"/>
    </xf>
    <xf numFmtId="0" fontId="15" fillId="0" borderId="1" xfId="0" applyNumberFormat="1" applyFont="1" applyBorder="1" applyAlignment="1" applyProtection="1">
      <alignment vertical="center"/>
    </xf>
    <xf numFmtId="167" fontId="15" fillId="0" borderId="1" xfId="0" applyNumberFormat="1" applyFont="1" applyBorder="1" applyAlignment="1" applyProtection="1">
      <alignment vertical="center"/>
    </xf>
    <xf numFmtId="167" fontId="15" fillId="0" borderId="4" xfId="0" applyNumberFormat="1" applyFont="1" applyBorder="1" applyAlignment="1" applyProtection="1">
      <alignment vertical="center"/>
    </xf>
    <xf numFmtId="168" fontId="16" fillId="0" borderId="2" xfId="0" applyNumberFormat="1" applyFont="1" applyBorder="1" applyAlignment="1" applyProtection="1">
      <alignment horizontal="left" vertical="center"/>
    </xf>
    <xf numFmtId="169" fontId="16" fillId="0" borderId="2" xfId="0" applyNumberFormat="1" applyFont="1" applyBorder="1" applyAlignment="1" applyProtection="1">
      <alignment horizontal="right" vertical="center"/>
    </xf>
    <xf numFmtId="44" fontId="16" fillId="0" borderId="3" xfId="0" applyNumberFormat="1" applyFont="1" applyBorder="1" applyAlignment="1" applyProtection="1">
      <alignment horizontal="center" vertical="center"/>
    </xf>
    <xf numFmtId="44" fontId="16" fillId="4" borderId="2" xfId="0" applyNumberFormat="1" applyFont="1" applyFill="1" applyBorder="1" applyAlignment="1" applyProtection="1">
      <alignment horizontal="right" vertical="center"/>
    </xf>
    <xf numFmtId="43" fontId="16" fillId="0" borderId="3" xfId="0" applyNumberFormat="1" applyFont="1" applyBorder="1" applyAlignment="1" applyProtection="1">
      <alignment horizontal="center" vertical="center"/>
    </xf>
    <xf numFmtId="43" fontId="16" fillId="4" borderId="2" xfId="0" applyNumberFormat="1" applyFont="1" applyFill="1" applyBorder="1" applyAlignment="1" applyProtection="1">
      <alignment horizontal="right" vertical="center"/>
    </xf>
    <xf numFmtId="0" fontId="3" fillId="0" borderId="0" xfId="0" applyFont="1" applyBorder="1" applyAlignment="1" applyProtection="1">
      <alignment horizontal="left" vertical="center"/>
    </xf>
    <xf numFmtId="43" fontId="3" fillId="0" borderId="2" xfId="0" applyNumberFormat="1" applyFont="1" applyFill="1" applyBorder="1" applyAlignment="1" applyProtection="1">
      <alignment horizontal="right" vertical="center"/>
    </xf>
    <xf numFmtId="43" fontId="3" fillId="0" borderId="2" xfId="0" applyNumberFormat="1" applyFont="1" applyBorder="1" applyAlignment="1" applyProtection="1">
      <alignment horizontal="right" vertical="center"/>
    </xf>
    <xf numFmtId="0" fontId="18" fillId="0" borderId="0" xfId="0" applyFont="1" applyAlignment="1" applyProtection="1">
      <alignment wrapText="1"/>
      <protection locked="0"/>
    </xf>
    <xf numFmtId="0" fontId="3" fillId="0" borderId="0" xfId="0" applyFont="1" applyAlignment="1" applyProtection="1">
      <alignment wrapText="1"/>
    </xf>
    <xf numFmtId="0" fontId="8" fillId="0" borderId="0" xfId="0" applyFont="1" applyAlignment="1" applyProtection="1">
      <alignment wrapText="1"/>
    </xf>
    <xf numFmtId="0" fontId="8" fillId="0" borderId="0" xfId="0" applyFont="1" applyAlignment="1" applyProtection="1"/>
    <xf numFmtId="14" fontId="18" fillId="0" borderId="0" xfId="0" applyNumberFormat="1" applyFont="1" applyAlignment="1">
      <alignment horizontal="left" wrapText="1"/>
    </xf>
    <xf numFmtId="0" fontId="9" fillId="0" borderId="0" xfId="0" applyFont="1" applyAlignment="1" applyProtection="1">
      <alignment wrapText="1"/>
    </xf>
    <xf numFmtId="0" fontId="21" fillId="0" borderId="0" xfId="6" applyFont="1" applyFill="1" applyAlignment="1">
      <alignment vertical="top"/>
    </xf>
    <xf numFmtId="0" fontId="22" fillId="6" borderId="0" xfId="6" applyFont="1" applyFill="1" applyAlignment="1">
      <alignment vertical="top"/>
    </xf>
    <xf numFmtId="170" fontId="20" fillId="6" borderId="0" xfId="6" applyNumberFormat="1" applyFill="1"/>
    <xf numFmtId="0" fontId="20" fillId="0" borderId="0" xfId="6"/>
    <xf numFmtId="0" fontId="20" fillId="0" borderId="0" xfId="6" applyAlignment="1">
      <alignment horizontal="right"/>
    </xf>
    <xf numFmtId="0" fontId="20" fillId="2" borderId="0" xfId="6" applyFill="1" applyBorder="1"/>
    <xf numFmtId="0" fontId="23" fillId="0" borderId="6" xfId="6" applyFont="1" applyFill="1" applyBorder="1" applyAlignment="1">
      <alignment horizontal="left" vertical="top" wrapText="1" indent="1"/>
    </xf>
    <xf numFmtId="0" fontId="23" fillId="0" borderId="0" xfId="6" applyFont="1" applyFill="1" applyBorder="1" applyAlignment="1">
      <alignment horizontal="left" vertical="top" wrapText="1" indent="1"/>
    </xf>
    <xf numFmtId="170" fontId="0" fillId="0" borderId="0" xfId="7" applyNumberFormat="1" applyFont="1" applyFill="1" applyBorder="1" applyAlignment="1">
      <alignment horizontal="left" vertical="center"/>
    </xf>
    <xf numFmtId="0" fontId="20" fillId="0" borderId="0" xfId="6" applyFont="1" applyFill="1" applyBorder="1" applyAlignment="1">
      <alignment horizontal="left" vertical="center" indent="1"/>
    </xf>
    <xf numFmtId="0" fontId="24" fillId="6" borderId="0" xfId="6" applyFont="1" applyFill="1" applyAlignment="1">
      <alignment horizontal="left" vertical="center" indent="1"/>
    </xf>
    <xf numFmtId="4" fontId="0" fillId="0" borderId="0" xfId="8" applyNumberFormat="1" applyFont="1" applyFill="1" applyBorder="1" applyAlignment="1">
      <alignment horizontal="right" vertical="center" indent="1"/>
    </xf>
    <xf numFmtId="4" fontId="0" fillId="0" borderId="0" xfId="7" applyNumberFormat="1" applyFont="1" applyFill="1" applyBorder="1" applyAlignment="1">
      <alignment horizontal="right" vertical="center" indent="1"/>
    </xf>
    <xf numFmtId="0" fontId="23" fillId="0" borderId="0" xfId="6" applyFont="1" applyFill="1" applyBorder="1" applyAlignment="1">
      <alignment vertical="top" wrapText="1"/>
    </xf>
    <xf numFmtId="0" fontId="18" fillId="5" borderId="0" xfId="0" applyFont="1" applyFill="1">
      <alignment vertical="top" wrapText="1"/>
    </xf>
    <xf numFmtId="0" fontId="26" fillId="0" borderId="8" xfId="0" applyFont="1" applyBorder="1" applyAlignment="1">
      <alignment horizontal="left" vertical="top" wrapText="1"/>
    </xf>
    <xf numFmtId="0" fontId="26" fillId="0" borderId="9" xfId="0" applyFont="1" applyBorder="1" applyAlignment="1">
      <alignment horizontal="left" vertical="top" wrapText="1"/>
    </xf>
    <xf numFmtId="0" fontId="3" fillId="0" borderId="0" xfId="0" applyFont="1" applyFill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horizontal="right" vertical="center"/>
    </xf>
    <xf numFmtId="0" fontId="0" fillId="0" borderId="0" xfId="0" applyFill="1">
      <alignment vertical="top" wrapText="1"/>
    </xf>
    <xf numFmtId="0" fontId="29" fillId="5" borderId="0" xfId="0" applyFont="1" applyFill="1" applyAlignment="1">
      <alignment horizontal="center" vertical="top" wrapText="1"/>
    </xf>
    <xf numFmtId="0" fontId="25" fillId="0" borderId="0" xfId="0" applyFont="1">
      <alignment vertical="top" wrapText="1"/>
    </xf>
    <xf numFmtId="4" fontId="3" fillId="0" borderId="7" xfId="0" applyNumberFormat="1" applyFont="1" applyBorder="1" applyAlignment="1">
      <alignment horizontal="right" vertical="center" wrapText="1"/>
    </xf>
    <xf numFmtId="4" fontId="3" fillId="3" borderId="7" xfId="0" applyNumberFormat="1" applyFont="1" applyFill="1" applyBorder="1" applyAlignment="1">
      <alignment horizontal="right" vertical="center" wrapText="1"/>
    </xf>
    <xf numFmtId="4" fontId="3" fillId="8" borderId="7" xfId="0" applyNumberFormat="1" applyFont="1" applyFill="1" applyBorder="1" applyAlignment="1">
      <alignment horizontal="right" vertical="center" wrapText="1"/>
    </xf>
    <xf numFmtId="4" fontId="3" fillId="0" borderId="7" xfId="0" applyNumberFormat="1" applyFont="1" applyBorder="1" applyAlignment="1">
      <alignment horizontal="right" vertical="top" wrapText="1"/>
    </xf>
    <xf numFmtId="4" fontId="3" fillId="0" borderId="7" xfId="0" applyNumberFormat="1" applyFont="1" applyBorder="1" applyAlignment="1">
      <alignment horizontal="right" vertical="top" wrapText="1"/>
    </xf>
    <xf numFmtId="4" fontId="3" fillId="3" borderId="7" xfId="0" applyNumberFormat="1" applyFont="1" applyFill="1" applyBorder="1" applyAlignment="1">
      <alignment horizontal="right" vertical="top" wrapText="1"/>
    </xf>
    <xf numFmtId="0" fontId="0" fillId="0" borderId="0" xfId="0" applyFont="1">
      <alignment vertical="top" wrapText="1"/>
    </xf>
    <xf numFmtId="0" fontId="4" fillId="0" borderId="0" xfId="0" applyFont="1">
      <alignment vertical="top" wrapText="1"/>
    </xf>
    <xf numFmtId="0" fontId="4" fillId="7" borderId="0" xfId="0" applyFont="1" applyFill="1">
      <alignment vertical="top" wrapText="1"/>
    </xf>
    <xf numFmtId="0" fontId="4" fillId="7" borderId="0" xfId="0" applyFont="1" applyFill="1" applyAlignment="1">
      <alignment vertical="top" wrapText="1"/>
    </xf>
    <xf numFmtId="0" fontId="0" fillId="0" borderId="0" xfId="0" applyFont="1" applyAlignment="1" applyProtection="1">
      <alignment horizontal="left" vertical="center"/>
    </xf>
    <xf numFmtId="167" fontId="0" fillId="0" borderId="0" xfId="0" applyNumberFormat="1" applyFont="1" applyProtection="1">
      <alignment vertical="top" wrapText="1"/>
    </xf>
    <xf numFmtId="0" fontId="0" fillId="0" borderId="0" xfId="0" applyNumberFormat="1" applyFont="1" applyProtection="1">
      <alignment vertical="top" wrapText="1"/>
    </xf>
    <xf numFmtId="0" fontId="0" fillId="0" borderId="0" xfId="0" applyNumberFormat="1" applyFont="1" applyAlignment="1" applyProtection="1">
      <alignment horizontal="left" vertical="center"/>
    </xf>
    <xf numFmtId="4" fontId="0" fillId="0" borderId="0" xfId="0" applyNumberFormat="1" applyFont="1" applyFill="1" applyBorder="1" applyAlignment="1" applyProtection="1">
      <alignment vertical="center" wrapText="1"/>
    </xf>
    <xf numFmtId="164" fontId="3" fillId="0" borderId="2" xfId="0" applyNumberFormat="1" applyFont="1" applyFill="1" applyBorder="1" applyAlignment="1" applyProtection="1">
      <alignment horizontal="left" vertical="center"/>
    </xf>
    <xf numFmtId="164" fontId="4" fillId="4" borderId="2" xfId="0" applyNumberFormat="1" applyFont="1" applyFill="1" applyBorder="1" applyAlignment="1" applyProtection="1">
      <alignment horizontal="left" vertical="center"/>
    </xf>
    <xf numFmtId="39" fontId="3" fillId="4" borderId="2" xfId="0" applyNumberFormat="1" applyFont="1" applyFill="1" applyBorder="1" applyAlignment="1" applyProtection="1">
      <alignment horizontal="right" vertical="center"/>
    </xf>
    <xf numFmtId="39" fontId="3" fillId="2" borderId="2" xfId="0" applyNumberFormat="1" applyFont="1" applyFill="1" applyBorder="1" applyAlignment="1" applyProtection="1">
      <alignment horizontal="right" vertical="center"/>
    </xf>
    <xf numFmtId="0" fontId="0" fillId="0" borderId="0" xfId="0" applyFont="1" applyFill="1" applyAlignment="1" applyProtection="1">
      <alignment vertical="top"/>
    </xf>
    <xf numFmtId="0" fontId="3" fillId="0" borderId="0" xfId="0" applyFont="1" applyFill="1" applyAlignment="1" applyProtection="1">
      <alignment vertical="top"/>
    </xf>
    <xf numFmtId="4" fontId="0" fillId="0" borderId="0" xfId="0" applyNumberFormat="1" applyFont="1" applyProtection="1">
      <alignment vertical="top" wrapText="1"/>
    </xf>
    <xf numFmtId="39" fontId="0" fillId="0" borderId="0" xfId="0" applyNumberFormat="1" applyFont="1" applyFill="1" applyAlignment="1" applyProtection="1">
      <alignment vertical="center" wrapText="1"/>
    </xf>
    <xf numFmtId="39" fontId="0" fillId="0" borderId="0" xfId="0" applyNumberFormat="1" applyFont="1" applyFill="1" applyBorder="1" applyAlignment="1" applyProtection="1">
      <alignment horizontal="right" vertical="center" wrapText="1"/>
    </xf>
    <xf numFmtId="0" fontId="0" fillId="0" borderId="0" xfId="0" applyFont="1" applyFill="1" applyBorder="1" applyAlignment="1">
      <alignment vertical="center" wrapText="1"/>
    </xf>
    <xf numFmtId="0" fontId="0" fillId="0" borderId="0" xfId="0" applyFont="1" applyFill="1" applyBorder="1" applyAlignment="1" applyProtection="1">
      <alignment vertical="center" wrapText="1"/>
    </xf>
    <xf numFmtId="165" fontId="0" fillId="0" borderId="0" xfId="0" applyNumberFormat="1" applyFont="1" applyFill="1" applyBorder="1" applyAlignment="1" applyProtection="1">
      <alignment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4" fillId="0" borderId="0" xfId="0" applyFont="1" applyAlignment="1">
      <alignment vertical="top"/>
    </xf>
    <xf numFmtId="4" fontId="0" fillId="0" borderId="0" xfId="0" applyNumberFormat="1" applyFont="1" applyFill="1" applyBorder="1" applyProtection="1">
      <alignment vertical="top" wrapText="1"/>
    </xf>
    <xf numFmtId="4" fontId="10" fillId="0" borderId="5" xfId="0" applyNumberFormat="1" applyFont="1" applyFill="1" applyBorder="1" applyProtection="1">
      <alignment vertical="top" wrapText="1"/>
    </xf>
    <xf numFmtId="0" fontId="3" fillId="0" borderId="8" xfId="0" applyFont="1" applyBorder="1">
      <alignment vertical="top" wrapText="1"/>
    </xf>
    <xf numFmtId="0" fontId="3" fillId="3" borderId="8" xfId="0" applyFont="1" applyFill="1" applyBorder="1">
      <alignment vertical="top" wrapText="1"/>
    </xf>
    <xf numFmtId="41" fontId="0" fillId="0" borderId="0" xfId="0" applyNumberFormat="1" applyFont="1" applyFill="1" applyBorder="1" applyAlignment="1" applyProtection="1">
      <alignment horizontal="left" vertical="top" wrapText="1"/>
    </xf>
    <xf numFmtId="0" fontId="26" fillId="0" borderId="7" xfId="0" applyFont="1" applyBorder="1" applyAlignment="1">
      <alignment horizontal="left" vertical="top" wrapText="1"/>
    </xf>
    <xf numFmtId="4" fontId="4" fillId="0" borderId="7" xfId="0" applyNumberFormat="1" applyFont="1" applyBorder="1" applyAlignment="1">
      <alignment horizontal="right" vertical="center" wrapText="1"/>
    </xf>
    <xf numFmtId="0" fontId="0" fillId="0" borderId="0" xfId="0" applyNumberFormat="1" applyFont="1" applyAlignment="1" applyProtection="1">
      <alignment horizontal="left"/>
    </xf>
    <xf numFmtId="0" fontId="0" fillId="0" borderId="0" xfId="0" applyNumberFormat="1" applyFont="1" applyAlignment="1" applyProtection="1">
      <alignment horizontal="left" indent="1"/>
    </xf>
    <xf numFmtId="41" fontId="0" fillId="0" borderId="0" xfId="0" applyNumberFormat="1" applyFont="1" applyProtection="1">
      <alignment vertical="top" wrapText="1"/>
    </xf>
    <xf numFmtId="4" fontId="10" fillId="0" borderId="5" xfId="0" applyNumberFormat="1" applyFont="1" applyBorder="1" applyProtection="1">
      <alignment vertical="top" wrapText="1"/>
    </xf>
    <xf numFmtId="0" fontId="0" fillId="0" borderId="0" xfId="0" applyNumberFormat="1" applyFont="1" applyBorder="1" applyAlignment="1" applyProtection="1">
      <alignment horizontal="left"/>
    </xf>
    <xf numFmtId="0" fontId="0" fillId="0" borderId="0" xfId="0" applyNumberFormat="1" applyFont="1" applyBorder="1" applyAlignment="1" applyProtection="1">
      <alignment horizontal="left" indent="1"/>
    </xf>
    <xf numFmtId="41" fontId="0" fillId="0" borderId="0" xfId="0" applyNumberFormat="1" applyFont="1" applyBorder="1" applyProtection="1">
      <alignment vertical="top" wrapText="1"/>
    </xf>
    <xf numFmtId="4" fontId="0" fillId="0" borderId="0" xfId="0" applyNumberFormat="1" applyFont="1" applyBorder="1" applyProtection="1">
      <alignment vertical="top" wrapText="1"/>
    </xf>
    <xf numFmtId="4" fontId="10" fillId="0" borderId="19" xfId="0" applyNumberFormat="1" applyFont="1" applyBorder="1" applyProtection="1">
      <alignment vertical="top" wrapText="1"/>
    </xf>
    <xf numFmtId="0" fontId="4" fillId="7" borderId="0" xfId="0" applyFont="1" applyFill="1" applyAlignment="1">
      <alignment horizontal="center" vertical="top" wrapText="1"/>
    </xf>
    <xf numFmtId="0" fontId="3" fillId="0" borderId="7" xfId="0" applyFont="1" applyBorder="1" applyProtection="1">
      <alignment vertical="top" wrapText="1"/>
      <protection locked="0"/>
    </xf>
    <xf numFmtId="0" fontId="3" fillId="3" borderId="7" xfId="0" applyFont="1" applyFill="1" applyBorder="1" applyProtection="1">
      <alignment vertical="top" wrapText="1"/>
      <protection locked="0"/>
    </xf>
    <xf numFmtId="0" fontId="3" fillId="0" borderId="7" xfId="0" applyFont="1" applyBorder="1" applyAlignment="1" applyProtection="1">
      <alignment horizontal="right" vertical="top" wrapText="1"/>
      <protection locked="0"/>
    </xf>
    <xf numFmtId="0" fontId="3" fillId="3" borderId="7" xfId="0" applyFont="1" applyFill="1" applyBorder="1" applyAlignment="1" applyProtection="1">
      <alignment horizontal="right" vertical="top" wrapText="1"/>
      <protection locked="0"/>
    </xf>
    <xf numFmtId="4" fontId="3" fillId="0" borderId="8" xfId="0" applyNumberFormat="1" applyFont="1" applyBorder="1" applyAlignment="1" applyProtection="1">
      <alignment horizontal="right" vertical="top" wrapText="1"/>
      <protection locked="0"/>
    </xf>
    <xf numFmtId="4" fontId="3" fillId="3" borderId="8" xfId="0" applyNumberFormat="1" applyFont="1" applyFill="1" applyBorder="1" applyAlignment="1" applyProtection="1">
      <alignment horizontal="right" vertical="top" wrapText="1"/>
      <protection locked="0"/>
    </xf>
    <xf numFmtId="4" fontId="3" fillId="0" borderId="7" xfId="0" applyNumberFormat="1" applyFont="1" applyBorder="1" applyAlignment="1" applyProtection="1">
      <alignment horizontal="right" vertical="center" wrapText="1"/>
      <protection locked="0"/>
    </xf>
    <xf numFmtId="4" fontId="3" fillId="3" borderId="7" xfId="0" applyNumberFormat="1" applyFont="1" applyFill="1" applyBorder="1" applyAlignment="1" applyProtection="1">
      <alignment horizontal="right" vertical="center" wrapText="1"/>
      <protection locked="0"/>
    </xf>
    <xf numFmtId="0" fontId="3" fillId="0" borderId="0" xfId="0" applyFont="1" applyAlignment="1" applyProtection="1">
      <alignment horizontal="left" vertical="top" wrapText="1"/>
      <protection locked="0"/>
    </xf>
    <xf numFmtId="0" fontId="27" fillId="0" borderId="0" xfId="0" applyFont="1" applyAlignment="1" applyProtection="1">
      <alignment horizontal="center" vertical="top"/>
      <protection locked="0"/>
    </xf>
    <xf numFmtId="0" fontId="0" fillId="0" borderId="0" xfId="0" applyFont="1" applyFill="1" applyBorder="1" applyAlignment="1" applyProtection="1">
      <alignment vertical="center"/>
      <protection locked="0"/>
    </xf>
    <xf numFmtId="168" fontId="0" fillId="0" borderId="0" xfId="0" applyNumberFormat="1" applyFont="1" applyFill="1" applyBorder="1" applyAlignment="1" applyProtection="1">
      <alignment vertical="center" wrapText="1"/>
      <protection locked="0"/>
    </xf>
    <xf numFmtId="168" fontId="0" fillId="0" borderId="0" xfId="0" applyNumberFormat="1" applyFont="1" applyFill="1" applyBorder="1" applyAlignment="1" applyProtection="1">
      <alignment horizontal="left" vertical="center" wrapText="1"/>
      <protection locked="0"/>
    </xf>
    <xf numFmtId="0" fontId="0" fillId="0" borderId="0" xfId="0" applyFont="1" applyAlignment="1" applyProtection="1">
      <alignment horizontal="left" vertical="center" wrapText="1"/>
      <protection locked="0"/>
    </xf>
    <xf numFmtId="0" fontId="0" fillId="0" borderId="0" xfId="0" applyFont="1" applyAlignment="1" applyProtection="1">
      <alignment vertical="center" wrapText="1"/>
      <protection locked="0"/>
    </xf>
    <xf numFmtId="0" fontId="0" fillId="0" borderId="0" xfId="0" applyAlignment="1" applyProtection="1">
      <alignment vertical="center" wrapText="1"/>
      <protection locked="0"/>
    </xf>
    <xf numFmtId="0" fontId="30" fillId="0" borderId="0" xfId="1" applyFont="1" applyAlignment="1" applyProtection="1">
      <alignment vertical="top" wrapText="1"/>
    </xf>
    <xf numFmtId="168" fontId="0" fillId="0" borderId="0" xfId="0" applyNumberFormat="1" applyFont="1" applyFill="1" applyBorder="1" applyAlignment="1" applyProtection="1">
      <alignment horizontal="left" vertical="center"/>
      <protection locked="0"/>
    </xf>
    <xf numFmtId="172" fontId="0" fillId="0" borderId="0" xfId="0" applyNumberFormat="1" applyFont="1" applyFill="1" applyBorder="1" applyAlignment="1" applyProtection="1">
      <alignment vertical="center" wrapText="1"/>
      <protection locked="0"/>
    </xf>
    <xf numFmtId="39" fontId="0" fillId="0" borderId="0" xfId="0" applyNumberFormat="1" applyFont="1" applyFill="1" applyBorder="1" applyAlignment="1" applyProtection="1">
      <alignment vertical="center" wrapText="1"/>
      <protection locked="0"/>
    </xf>
    <xf numFmtId="4" fontId="0" fillId="0" borderId="0" xfId="4" applyNumberFormat="1" applyFont="1" applyFill="1" applyBorder="1" applyAlignment="1" applyProtection="1">
      <alignment vertical="center" wrapText="1"/>
      <protection locked="0"/>
    </xf>
    <xf numFmtId="39" fontId="0" fillId="0" borderId="0" xfId="0" applyNumberFormat="1" applyFont="1" applyFill="1" applyBorder="1" applyAlignment="1" applyProtection="1">
      <alignment horizontal="right" vertical="center" wrapText="1"/>
      <protection locked="0"/>
    </xf>
    <xf numFmtId="4" fontId="0" fillId="0" borderId="0" xfId="4" applyNumberFormat="1" applyFont="1" applyFill="1" applyBorder="1" applyAlignment="1" applyProtection="1">
      <alignment horizontal="right" vertical="center" wrapText="1"/>
      <protection locked="0"/>
    </xf>
    <xf numFmtId="0" fontId="0" fillId="0" borderId="0" xfId="0" applyFont="1" applyAlignment="1" applyProtection="1">
      <alignment horizontal="left" vertical="center"/>
      <protection locked="0"/>
    </xf>
    <xf numFmtId="172" fontId="0" fillId="0" borderId="0" xfId="0" applyNumberFormat="1" applyFont="1" applyAlignment="1" applyProtection="1">
      <alignment vertical="center" wrapText="1"/>
      <protection locked="0"/>
    </xf>
    <xf numFmtId="39" fontId="0" fillId="0" borderId="0" xfId="0" applyNumberFormat="1" applyFont="1" applyFill="1" applyAlignment="1" applyProtection="1">
      <alignment horizontal="right" vertical="center" wrapText="1"/>
      <protection locked="0"/>
    </xf>
    <xf numFmtId="4" fontId="0" fillId="0" borderId="0" xfId="0" applyNumberFormat="1" applyFont="1" applyAlignment="1" applyProtection="1">
      <alignment horizontal="right" vertical="center" wrapText="1"/>
      <protection locked="0"/>
    </xf>
    <xf numFmtId="39" fontId="0" fillId="0" borderId="0" xfId="0" applyNumberFormat="1" applyFont="1" applyAlignment="1" applyProtection="1">
      <alignment horizontal="right" vertical="center" wrapText="1"/>
      <protection locked="0"/>
    </xf>
    <xf numFmtId="39" fontId="0" fillId="0" borderId="0" xfId="0" applyNumberFormat="1" applyFont="1" applyFill="1" applyAlignment="1" applyProtection="1">
      <alignment vertical="center" wrapText="1"/>
      <protection locked="0"/>
    </xf>
    <xf numFmtId="4" fontId="0" fillId="0" borderId="0" xfId="0" applyNumberFormat="1" applyFont="1" applyAlignment="1" applyProtection="1">
      <alignment vertical="center" wrapText="1"/>
      <protection locked="0"/>
    </xf>
    <xf numFmtId="39" fontId="0" fillId="0" borderId="0" xfId="0" applyNumberFormat="1" applyFont="1" applyAlignment="1" applyProtection="1">
      <alignment vertical="center" wrapText="1"/>
      <protection locked="0"/>
    </xf>
    <xf numFmtId="0" fontId="0" fillId="0" borderId="0" xfId="0" applyAlignment="1" applyProtection="1">
      <alignment horizontal="left" vertical="center"/>
      <protection locked="0"/>
    </xf>
    <xf numFmtId="172" fontId="0" fillId="0" borderId="0" xfId="0" applyNumberFormat="1" applyAlignment="1" applyProtection="1">
      <alignment vertical="center" wrapText="1"/>
      <protection locked="0"/>
    </xf>
    <xf numFmtId="172" fontId="27" fillId="0" borderId="0" xfId="0" applyNumberFormat="1" applyFont="1" applyAlignment="1" applyProtection="1">
      <alignment horizontal="center" vertical="top"/>
      <protection locked="0"/>
    </xf>
    <xf numFmtId="0" fontId="0" fillId="0" borderId="0" xfId="0" applyFont="1" applyAlignment="1" applyProtection="1">
      <alignment vertical="center" wrapText="1"/>
    </xf>
    <xf numFmtId="167" fontId="15" fillId="0" borderId="1" xfId="0" applyNumberFormat="1" applyFont="1" applyBorder="1" applyAlignment="1" applyProtection="1">
      <alignment vertical="center"/>
    </xf>
    <xf numFmtId="4" fontId="3" fillId="0" borderId="0" xfId="0" applyNumberFormat="1" applyFont="1" applyBorder="1" applyAlignment="1">
      <alignment horizontal="right" vertical="top" wrapText="1"/>
    </xf>
    <xf numFmtId="171" fontId="3" fillId="3" borderId="8" xfId="0" applyNumberFormat="1" applyFont="1" applyFill="1" applyBorder="1" applyAlignment="1" applyProtection="1">
      <alignment horizontal="left" vertical="top" wrapText="1"/>
    </xf>
    <xf numFmtId="171" fontId="3" fillId="3" borderId="10" xfId="0" applyNumberFormat="1" applyFont="1" applyFill="1" applyBorder="1" applyAlignment="1" applyProtection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left" vertical="top" wrapText="1"/>
    </xf>
    <xf numFmtId="0" fontId="26" fillId="0" borderId="9" xfId="0" applyFont="1" applyBorder="1" applyAlignment="1">
      <alignment horizontal="left" vertical="top" wrapText="1"/>
    </xf>
    <xf numFmtId="171" fontId="3" fillId="0" borderId="8" xfId="0" applyNumberFormat="1" applyFont="1" applyBorder="1" applyAlignment="1" applyProtection="1">
      <alignment horizontal="left" vertical="top" wrapText="1"/>
    </xf>
    <xf numFmtId="171" fontId="3" fillId="0" borderId="10" xfId="0" applyNumberFormat="1" applyFont="1" applyBorder="1" applyAlignment="1" applyProtection="1">
      <alignment horizontal="left" vertical="top" wrapText="1"/>
    </xf>
    <xf numFmtId="0" fontId="31" fillId="0" borderId="0" xfId="0" applyFont="1" applyAlignment="1">
      <alignment horizontal="center" vertical="top" wrapText="1"/>
    </xf>
    <xf numFmtId="0" fontId="4" fillId="0" borderId="8" xfId="0" applyFont="1" applyBorder="1" applyAlignment="1">
      <alignment horizontal="left" vertical="center" wrapText="1"/>
    </xf>
    <xf numFmtId="0" fontId="4" fillId="0" borderId="9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left" vertical="top"/>
    </xf>
    <xf numFmtId="0" fontId="0" fillId="0" borderId="7" xfId="0" applyFont="1" applyBorder="1" applyAlignment="1" applyProtection="1">
      <alignment horizontal="left" vertical="top" wrapText="1"/>
      <protection locked="0"/>
    </xf>
    <xf numFmtId="0" fontId="3" fillId="0" borderId="7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 wrapText="1"/>
    </xf>
    <xf numFmtId="0" fontId="28" fillId="5" borderId="0" xfId="0" applyFont="1" applyFill="1" applyAlignment="1">
      <alignment horizontal="left" vertical="top" wrapText="1"/>
    </xf>
    <xf numFmtId="0" fontId="4" fillId="7" borderId="0" xfId="0" applyFont="1" applyFill="1" applyAlignment="1">
      <alignment horizontal="center" vertical="top" wrapText="1"/>
    </xf>
    <xf numFmtId="0" fontId="3" fillId="3" borderId="7" xfId="0" applyFont="1" applyFill="1" applyBorder="1" applyAlignment="1">
      <alignment horizontal="left" vertical="center" wrapText="1"/>
    </xf>
    <xf numFmtId="0" fontId="3" fillId="3" borderId="8" xfId="0" applyFont="1" applyFill="1" applyBorder="1" applyAlignment="1">
      <alignment horizontal="left" vertical="center" wrapText="1"/>
    </xf>
    <xf numFmtId="0" fontId="4" fillId="8" borderId="7" xfId="0" applyFont="1" applyFill="1" applyBorder="1" applyAlignment="1">
      <alignment horizontal="left" vertical="center" wrapText="1"/>
    </xf>
    <xf numFmtId="0" fontId="4" fillId="8" borderId="8" xfId="0" applyFont="1" applyFill="1" applyBorder="1" applyAlignment="1">
      <alignment horizontal="left" vertical="center" wrapText="1"/>
    </xf>
    <xf numFmtId="44" fontId="16" fillId="0" borderId="2" xfId="0" applyNumberFormat="1" applyFont="1" applyBorder="1" applyAlignment="1" applyProtection="1">
      <alignment horizontal="center" vertical="center"/>
    </xf>
    <xf numFmtId="167" fontId="16" fillId="0" borderId="2" xfId="0" applyNumberFormat="1" applyFont="1" applyBorder="1" applyAlignment="1" applyProtection="1">
      <alignment horizontal="left" vertical="center"/>
    </xf>
    <xf numFmtId="0" fontId="3" fillId="0" borderId="12" xfId="0" applyFont="1" applyBorder="1" applyAlignment="1" applyProtection="1">
      <alignment horizontal="left" vertical="top"/>
    </xf>
    <xf numFmtId="0" fontId="3" fillId="0" borderId="13" xfId="0" applyFont="1" applyBorder="1" applyAlignment="1" applyProtection="1">
      <alignment horizontal="left" vertical="top"/>
    </xf>
    <xf numFmtId="0" fontId="3" fillId="0" borderId="14" xfId="0" applyFont="1" applyBorder="1" applyAlignment="1" applyProtection="1">
      <alignment horizontal="left" vertical="top"/>
    </xf>
    <xf numFmtId="0" fontId="3" fillId="0" borderId="15" xfId="0" applyFont="1" applyBorder="1" applyAlignment="1" applyProtection="1">
      <alignment horizontal="left" vertical="top"/>
    </xf>
    <xf numFmtId="0" fontId="3" fillId="0" borderId="0" xfId="0" applyFont="1" applyBorder="1" applyAlignment="1" applyProtection="1">
      <alignment horizontal="left" vertical="top"/>
    </xf>
    <xf numFmtId="0" fontId="3" fillId="0" borderId="16" xfId="0" applyFont="1" applyBorder="1" applyAlignment="1" applyProtection="1">
      <alignment horizontal="left" vertical="top"/>
    </xf>
    <xf numFmtId="0" fontId="3" fillId="0" borderId="17" xfId="0" applyFont="1" applyBorder="1" applyAlignment="1" applyProtection="1">
      <alignment horizontal="left" vertical="top"/>
    </xf>
    <xf numFmtId="0" fontId="3" fillId="0" borderId="11" xfId="0" applyFont="1" applyBorder="1" applyAlignment="1" applyProtection="1">
      <alignment horizontal="left" vertical="top"/>
    </xf>
    <xf numFmtId="0" fontId="3" fillId="0" borderId="18" xfId="0" applyFont="1" applyBorder="1" applyAlignment="1" applyProtection="1">
      <alignment horizontal="left" vertical="top"/>
    </xf>
    <xf numFmtId="43" fontId="16" fillId="0" borderId="2" xfId="0" applyNumberFormat="1" applyFont="1" applyBorder="1" applyAlignment="1" applyProtection="1">
      <alignment horizontal="center" vertical="center"/>
    </xf>
    <xf numFmtId="0" fontId="13" fillId="5" borderId="0" xfId="0" applyFont="1" applyFill="1" applyAlignment="1" applyProtection="1">
      <alignment horizontal="left" vertical="center" indent="2"/>
    </xf>
    <xf numFmtId="0" fontId="6" fillId="4" borderId="0" xfId="0" applyFont="1" applyFill="1" applyAlignment="1" applyProtection="1">
      <alignment horizontal="left" vertical="center" indent="2"/>
    </xf>
    <xf numFmtId="0" fontId="6" fillId="4" borderId="0" xfId="0" applyFont="1" applyFill="1" applyAlignment="1" applyProtection="1">
      <alignment horizontal="left" vertical="center" indent="3"/>
    </xf>
    <xf numFmtId="0" fontId="6" fillId="4" borderId="0" xfId="0" applyFont="1" applyFill="1" applyAlignment="1" applyProtection="1">
      <alignment horizontal="left" vertical="center"/>
    </xf>
    <xf numFmtId="167" fontId="15" fillId="0" borderId="1" xfId="0" applyNumberFormat="1" applyFont="1" applyBorder="1" applyAlignment="1" applyProtection="1">
      <alignment vertical="center"/>
    </xf>
    <xf numFmtId="0" fontId="18" fillId="0" borderId="0" xfId="0" applyFont="1" applyAlignment="1">
      <alignment wrapText="1"/>
    </xf>
    <xf numFmtId="0" fontId="17" fillId="0" borderId="0" xfId="1" applyAlignment="1" applyProtection="1">
      <alignment vertical="top" wrapText="1"/>
    </xf>
  </cellXfs>
  <cellStyles count="9">
    <cellStyle name="Comma 2" xfId="7"/>
    <cellStyle name="Currency 2" xfId="8"/>
    <cellStyle name="Followed Hyperlink" xfId="5" builtinId="9" customBuiltin="1"/>
    <cellStyle name="Heading 1" xfId="2" builtinId="16" customBuiltin="1"/>
    <cellStyle name="Heading 2" xfId="3" builtinId="17" customBuiltin="1"/>
    <cellStyle name="Hyperlink" xfId="1" builtinId="8" customBuiltin="1"/>
    <cellStyle name="Normal" xfId="0" builtinId="0" customBuiltin="1"/>
    <cellStyle name="Normal 2" xfId="6"/>
    <cellStyle name="Percent" xfId="4" builtinId="5"/>
  </cellStyles>
  <dxfs count="9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465926084170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465926084170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465926084170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4659260841701"/>
        <name val="Calibri"/>
        <scheme val="minor"/>
      </font>
      <numFmt numFmtId="11" formatCode="&quot;$&quot;#,##0.00_);\(&quot;$&quot;#,##0.00\)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4659260841701"/>
        <name val="Calibri"/>
        <scheme val="minor"/>
      </font>
      <numFmt numFmtId="11" formatCode="&quot;$&quot;#,##0.00_);\(&quot;$&quot;#,##0.00\)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4659260841701"/>
        <name val="Calibri"/>
        <scheme val="minor"/>
      </font>
      <numFmt numFmtId="11" formatCode="&quot;$&quot;#,##0.00_);\(&quot;$&quot;#,##0.00\)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4659260841701"/>
        <name val="Calibri"/>
        <scheme val="minor"/>
      </font>
      <numFmt numFmtId="11" formatCode="&quot;$&quot;#,##0.00_);\(&quot;$&quot;#,##0.00\)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465926084170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4659260841701"/>
        <name val="Calibri"/>
        <scheme val="minor"/>
      </font>
      <numFmt numFmtId="11" formatCode="&quot;$&quot;#,##0.00_);\(&quot;$&quot;#,##0.00\)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465926084170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465926084170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465926084170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465926084170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465926084170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465926084170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465926084170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465926084170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465926084170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465926084170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465926084170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465926084170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4659260841701"/>
        <name val="Calibri"/>
        <scheme val="minor"/>
      </font>
      <numFmt numFmtId="167" formatCode="_)@\ \ 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465926084170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  <protection locked="1" hidden="0"/>
    </dxf>
    <dxf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Calibri"/>
        <scheme val="minor"/>
      </font>
      <numFmt numFmtId="4" formatCode="#,##0.00"/>
      <border diagonalUp="0" diagonalDown="0">
        <left style="thin">
          <color theme="4" tint="0.59996337778862885"/>
        </left>
        <right style="thin">
          <color theme="4" tint="0.59996337778862885"/>
        </right>
        <top style="thin">
          <color theme="4" tint="0.59996337778862885"/>
        </top>
        <bottom style="thin">
          <color theme="4" tint="0.59996337778862885"/>
        </bottom>
        <vertical/>
        <horizontal/>
      </border>
    </dxf>
    <dxf>
      <numFmt numFmtId="4" formatCode="#,##0.00"/>
    </dxf>
    <dxf>
      <numFmt numFmtId="4" formatCode="#,##0.00"/>
    </dxf>
    <dxf>
      <numFmt numFmtId="33" formatCode="_(* #,##0_);_(* \(#,##0\);_(* &quot;-&quot;_);_(@_)"/>
    </dxf>
    <dxf>
      <numFmt numFmtId="0" formatCode="General"/>
      <alignment horizontal="left" vertical="bottom" textRotation="0" wrapText="0" indent="1" justifyLastLine="0" shrinkToFit="0" readingOrder="0"/>
    </dxf>
    <dxf>
      <numFmt numFmtId="0" formatCode="General"/>
      <alignment horizontal="left" vertical="bottom" textRotation="0" wrapText="0" relativeIndent="1" justifyLastLine="0" shrinkToFit="0" readingOrder="0"/>
    </dxf>
    <dxf>
      <numFmt numFmtId="0" formatCode="General"/>
      <alignment horizontal="left" vertical="bottom" textRotation="0" wrapText="0" relative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465926084170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0"/>
    </dxf>
    <dxf>
      <font>
        <color rgb="FFFF0000"/>
      </font>
    </dxf>
    <dxf>
      <alignment horizontal="general" vertical="center" textRotation="0" wrapText="1" indent="0" justifyLastLine="0" shrinkToFit="0" readingOrder="0"/>
      <protection locked="1" hidden="0"/>
    </dxf>
    <dxf>
      <alignment horizontal="general" vertical="center" textRotation="0" wrapText="1" indent="0" justifyLastLine="0" shrinkToFit="0" readingOrder="0"/>
      <protection locked="1" hidden="0"/>
    </dxf>
    <dxf>
      <alignment horizontal="general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4659260841701"/>
        <name val="Calibri"/>
        <scheme val="minor"/>
      </font>
      <numFmt numFmtId="7" formatCode="#,##0.00_);\(#,##0.00\)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protection locked="1" hidden="0"/>
    </dxf>
    <dxf>
      <numFmt numFmtId="7" formatCode="#,##0.00_);\(#,##0.00\)"/>
      <alignment horizontal="general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4659260841701"/>
        <name val="Calibri"/>
        <scheme val="minor"/>
      </font>
      <numFmt numFmtId="7" formatCode="#,##0.00_);\(#,##0.00\)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protection locked="1" hidden="0"/>
    </dxf>
    <dxf>
      <numFmt numFmtId="7" formatCode="#,##0.00_);\(#,##0.00\)"/>
      <alignment horizontal="general" vertical="center" textRotation="0" wrapText="1" indent="0" justifyLastLine="0" shrinkToFit="0" readingOrder="0"/>
      <protection locked="0" hidden="0"/>
    </dxf>
    <dxf>
      <numFmt numFmtId="4" formatCode="#,##0.00"/>
      <alignment horizontal="general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4659260841701"/>
        <name val="Calibri"/>
        <scheme val="minor"/>
      </font>
      <numFmt numFmtId="7" formatCode="#,##0.00_);\(#,##0.00\)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protection locked="0" hidden="0"/>
    </dxf>
    <dxf>
      <numFmt numFmtId="172" formatCode="dd/mmm/yyyy"/>
      <alignment horizontal="general" vertical="center" textRotation="0" wrapText="1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alignment horizontal="general" vertical="center" textRotation="0" wrapText="1" indent="0" justifyLastLine="0" shrinkToFit="0" readingOrder="0"/>
      <protection locked="0" hidden="0"/>
    </dxf>
    <dxf>
      <alignment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  <protection locked="1" hidden="0"/>
    </dxf>
    <dxf>
      <alignment vertical="center" textRotation="0" wrapText="1" indent="0" justifyLastLine="0" shrinkToFit="0" readingOrder="0"/>
    </dxf>
    <dxf>
      <font>
        <color rgb="FFFF0000"/>
      </font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</dxf>
    <dxf>
      <numFmt numFmtId="167" formatCode="_)@\ \ "/>
    </dxf>
    <dxf>
      <alignment horizontal="left" vertical="center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0" indent="1" justifyLastLine="0" shrinkToFit="0" readingOrder="0"/>
    </dxf>
    <dxf>
      <numFmt numFmtId="4" formatCode="#,##0.00"/>
      <alignment horizontal="right" vertical="center" textRotation="0" wrapText="0" indent="1" justifyLastLine="0" shrinkToFit="0" readingOrder="0"/>
    </dxf>
    <dxf>
      <numFmt numFmtId="4" formatCode="#,##0.00"/>
      <alignment horizontal="righ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</dxf>
    <dxf>
      <alignment horizontal="left" vertical="center" textRotation="0" wrapText="0" indent="1" justifyLastLine="0" shrinkToFit="0" readingOrder="0"/>
    </dxf>
    <dxf>
      <numFmt numFmtId="170" formatCode=";;;"/>
    </dxf>
    <dxf>
      <font>
        <strike/>
        <color theme="0" tint="-0.34998626667073579"/>
      </font>
    </dxf>
    <dxf>
      <font>
        <color theme="1"/>
      </font>
      <fill>
        <patternFill>
          <bgColor theme="9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4" tint="-0.249977111117893"/>
      </font>
    </dxf>
    <dxf>
      <font>
        <b/>
        <color theme="4" tint="-0.249977111117893"/>
      </font>
    </dxf>
    <dxf>
      <font>
        <b/>
        <i val="0"/>
      </font>
      <border>
        <top style="double">
          <color theme="4"/>
        </top>
      </border>
    </dxf>
    <dxf>
      <font>
        <color theme="2" tint="-0.749961851863155"/>
      </font>
      <border>
        <left/>
        <right/>
        <vertical/>
        <horizontal/>
      </border>
    </dxf>
    <dxf>
      <font>
        <color theme="4" tint="-0.249977111117893"/>
      </font>
      <border>
        <left style="thin">
          <color theme="4" tint="0.59996337778862885"/>
        </left>
        <right style="thin">
          <color theme="4" tint="0.59996337778862885"/>
        </right>
        <top style="thin">
          <color theme="4" tint="0.59996337778862885"/>
        </top>
        <bottom style="thin">
          <color theme="4" tint="0.59996337778862885"/>
        </bottom>
        <vertical style="thin">
          <color theme="4" tint="0.59996337778862885"/>
        </vertical>
        <horizontal style="thin">
          <color theme="4" tint="0.59996337778862885"/>
        </horizontal>
      </border>
    </dxf>
    <dxf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6"/>
        </patternFill>
      </fill>
      <border>
        <top/>
        <bottom style="thick">
          <color theme="0"/>
        </bottom>
        <vertical style="thick">
          <color theme="0"/>
        </vertical>
      </border>
    </dxf>
    <dxf>
      <font>
        <color theme="1"/>
      </font>
      <fill>
        <patternFill patternType="solid">
          <fgColor theme="6" tint="0.79967650379955446"/>
          <bgColor theme="4" tint="0.89996032593768116"/>
        </patternFill>
      </fill>
      <border>
        <vertical/>
        <horizontal style="thick">
          <color theme="0"/>
        </horizontal>
      </border>
    </dxf>
  </dxfs>
  <tableStyles count="2" defaultTableStyle="Sales Invoice Table" defaultPivotStyle="PivotStyleLight16">
    <tableStyle name="Inventory List" pivot="0" count="3">
      <tableStyleElement type="wholeTable" dxfId="90"/>
      <tableStyleElement type="headerRow" dxfId="89"/>
      <tableStyleElement type="firstColumn" dxfId="88"/>
    </tableStyle>
    <tableStyle name="Sales Invoice Table" pivot="0" count="7">
      <tableStyleElement type="wholeTable" dxfId="87"/>
      <tableStyleElement type="headerRow" dxfId="86"/>
      <tableStyleElement type="totalRow" dxfId="85"/>
      <tableStyleElement type="firstColumn" dxfId="84"/>
      <tableStyleElement type="lastColumn" dxfId="83"/>
      <tableStyleElement type="firstRowStripe" dxfId="82"/>
      <tableStyleElement type="firstColumnStripe" dxfId="81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DAFA7"/>
      <color rgb="FFBFE9E6"/>
      <color rgb="FFC5D1D7"/>
      <color rgb="FF00A7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checked="Checked" fmlaLink="$I$1" lockText="1" noThreeD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152400</xdr:colOff>
          <xdr:row>0</xdr:row>
          <xdr:rowOff>247650</xdr:rowOff>
        </xdr:from>
        <xdr:to>
          <xdr:col>10</xdr:col>
          <xdr:colOff>466725</xdr:colOff>
          <xdr:row>2</xdr:row>
          <xdr:rowOff>57150</xdr:rowOff>
        </xdr:to>
        <xdr:sp macro="" textlink="">
          <xdr:nvSpPr>
            <xdr:cNvPr id="11270" name="CommandButton1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53813</xdr:colOff>
      <xdr:row>0</xdr:row>
      <xdr:rowOff>180975</xdr:rowOff>
    </xdr:from>
    <xdr:to>
      <xdr:col>11</xdr:col>
      <xdr:colOff>257175</xdr:colOff>
      <xdr:row>0</xdr:row>
      <xdr:rowOff>429826</xdr:rowOff>
    </xdr:to>
    <xdr:grpSp>
      <xdr:nvGrpSpPr>
        <xdr:cNvPr id="2" name="Item to reorder group" descr="Click to highlight inventory items in which Quantity in Stock is less than or equal to the reorder level and not discontinued." title="Highlight items to reorder?"/>
        <xdr:cNvGrpSpPr/>
      </xdr:nvGrpSpPr>
      <xdr:grpSpPr>
        <a:xfrm>
          <a:off x="6740363" y="180975"/>
          <a:ext cx="2632237" cy="248851"/>
          <a:chOff x="9359735" y="285750"/>
          <a:chExt cx="1787715" cy="248851"/>
        </a:xfrm>
      </xdr:grpSpPr>
      <xdr:sp macro="" textlink="">
        <xdr:nvSpPr>
          <xdr:cNvPr id="3" name="Check box label"/>
          <xdr:cNvSpPr txBox="1"/>
        </xdr:nvSpPr>
        <xdr:spPr>
          <a:xfrm>
            <a:off x="9486900" y="285750"/>
            <a:ext cx="1660550" cy="2488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000">
                <a:solidFill>
                  <a:schemeClr val="accent3">
                    <a:lumMod val="50000"/>
                  </a:schemeClr>
                </a:solidFill>
              </a:rPr>
              <a:t>Highlight Items to reorder?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Check box" descr="Click to highlight inventory items in which Quantity in Stock is less than or equal to the reorder level and not discontinued." hidden="1">
                <a:extLst>
                  <a:ext uri="{63B3BB69-23CF-44E3-9099-C40C66FF867C}">
                    <a14:compatExt spid="_x0000_s6145"/>
                  </a:ext>
                </a:extLst>
              </xdr:cNvPr>
              <xdr:cNvSpPr/>
            </xdr:nvSpPr>
            <xdr:spPr bwMode="auto">
              <a:xfrm>
                <a:off x="9359735" y="323850"/>
                <a:ext cx="1737360" cy="1809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                                              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1</xdr:col>
      <xdr:colOff>198708</xdr:colOff>
      <xdr:row>1</xdr:row>
      <xdr:rowOff>1865</xdr:rowOff>
    </xdr:from>
    <xdr:to>
      <xdr:col>9</xdr:col>
      <xdr:colOff>10113</xdr:colOff>
      <xdr:row>1</xdr:row>
      <xdr:rowOff>95250</xdr:rowOff>
    </xdr:to>
    <xdr:grpSp>
      <xdr:nvGrpSpPr>
        <xdr:cNvPr id="5" name="Title Border" descr="&quot;&quot;&quot;" title="Title Border"/>
        <xdr:cNvGrpSpPr/>
      </xdr:nvGrpSpPr>
      <xdr:grpSpPr>
        <a:xfrm>
          <a:off x="313008" y="630515"/>
          <a:ext cx="8088630" cy="93385"/>
          <a:chOff x="313008" y="630515"/>
          <a:chExt cx="11155680" cy="93385"/>
        </a:xfrm>
        <a:solidFill>
          <a:schemeClr val="bg2">
            <a:lumMod val="75000"/>
          </a:schemeClr>
        </a:solidFill>
      </xdr:grpSpPr>
      <xdr:sp macro="" textlink="">
        <xdr:nvSpPr>
          <xdr:cNvPr id="6" name="Title border shape"/>
          <xdr:cNvSpPr/>
        </xdr:nvSpPr>
        <xdr:spPr>
          <a:xfrm>
            <a:off x="313008" y="630517"/>
            <a:ext cx="11155680" cy="89169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Title border shape"/>
          <xdr:cNvSpPr/>
        </xdr:nvSpPr>
        <xdr:spPr>
          <a:xfrm>
            <a:off x="313008" y="630515"/>
            <a:ext cx="121469" cy="93385"/>
          </a:xfrm>
          <a:prstGeom prst="rtTriangle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95250</xdr:rowOff>
    </xdr:from>
    <xdr:to>
      <xdr:col>11</xdr:col>
      <xdr:colOff>1008461</xdr:colOff>
      <xdr:row>0</xdr:row>
      <xdr:rowOff>259715</xdr:rowOff>
    </xdr:to>
    <xdr:grpSp>
      <xdr:nvGrpSpPr>
        <xdr:cNvPr id="48" name="Header artwork group" descr="&quot;&quot;" title="Header artwork"/>
        <xdr:cNvGrpSpPr/>
      </xdr:nvGrpSpPr>
      <xdr:grpSpPr>
        <a:xfrm>
          <a:off x="142875" y="95250"/>
          <a:ext cx="12533711" cy="164465"/>
          <a:chOff x="171449" y="152400"/>
          <a:chExt cx="13657124" cy="164465"/>
        </a:xfrm>
      </xdr:grpSpPr>
      <xdr:sp macro="" textlink="">
        <xdr:nvSpPr>
          <xdr:cNvPr id="39" name="Rectangle 38" title="Short Footer Graphic"/>
          <xdr:cNvSpPr/>
        </xdr:nvSpPr>
        <xdr:spPr>
          <a:xfrm>
            <a:off x="171449" y="152400"/>
            <a:ext cx="9875520" cy="164465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45720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marR="91440">
              <a:spcBef>
                <a:spcPts val="0"/>
              </a:spcBef>
              <a:spcAft>
                <a:spcPts val="0"/>
              </a:spcAft>
            </a:pPr>
            <a:r>
              <a:rPr lang="en-US" sz="2500" b="1">
                <a:solidFill>
                  <a:srgbClr val="000000"/>
                </a:solidFill>
                <a:effectLst/>
                <a:ea typeface="Arial"/>
                <a:cs typeface="Times New Roman"/>
              </a:rPr>
              <a:t> </a:t>
            </a:r>
          </a:p>
        </xdr:txBody>
      </xdr:sp>
      <xdr:grpSp>
        <xdr:nvGrpSpPr>
          <xdr:cNvPr id="46" name="Group 45"/>
          <xdr:cNvGrpSpPr/>
        </xdr:nvGrpSpPr>
        <xdr:grpSpPr>
          <a:xfrm>
            <a:off x="10079532" y="152400"/>
            <a:ext cx="3749041" cy="164465"/>
            <a:chOff x="10584357" y="200025"/>
            <a:chExt cx="3749041" cy="164465"/>
          </a:xfrm>
        </xdr:grpSpPr>
        <xdr:sp macro="" textlink="">
          <xdr:nvSpPr>
            <xdr:cNvPr id="40" name="Rectangle 39"/>
            <xdr:cNvSpPr/>
          </xdr:nvSpPr>
          <xdr:spPr>
            <a:xfrm>
              <a:off x="11580747" y="200025"/>
              <a:ext cx="273628" cy="164465"/>
            </a:xfrm>
            <a:prstGeom prst="rect">
              <a:avLst/>
            </a:prstGeom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sp macro="" textlink="">
          <xdr:nvSpPr>
            <xdr:cNvPr id="41" name="Rectangle 40"/>
            <xdr:cNvSpPr/>
          </xdr:nvSpPr>
          <xdr:spPr>
            <a:xfrm>
              <a:off x="10584357" y="200025"/>
              <a:ext cx="995986" cy="164465"/>
            </a:xfrm>
            <a:prstGeom prst="rect">
              <a:avLst/>
            </a:prstGeom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sp macro="" textlink="">
          <xdr:nvSpPr>
            <xdr:cNvPr id="42" name="Rectangle 41"/>
            <xdr:cNvSpPr/>
          </xdr:nvSpPr>
          <xdr:spPr>
            <a:xfrm>
              <a:off x="11852127" y="200025"/>
              <a:ext cx="1003728" cy="164465"/>
            </a:xfrm>
            <a:prstGeom prst="rect">
              <a:avLst/>
            </a:prstGeom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sp macro="" textlink="">
          <xdr:nvSpPr>
            <xdr:cNvPr id="43" name="Rectangle 42"/>
            <xdr:cNvSpPr/>
          </xdr:nvSpPr>
          <xdr:spPr>
            <a:xfrm>
              <a:off x="12855855" y="200025"/>
              <a:ext cx="576377" cy="164465"/>
            </a:xfrm>
            <a:prstGeom prst="rect">
              <a:avLst/>
            </a:prstGeom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sp macro="" textlink="">
          <xdr:nvSpPr>
            <xdr:cNvPr id="44" name="Rectangle 43"/>
            <xdr:cNvSpPr/>
          </xdr:nvSpPr>
          <xdr:spPr>
            <a:xfrm>
              <a:off x="13431724" y="200025"/>
              <a:ext cx="901674" cy="164465"/>
            </a:xfrm>
            <a:prstGeom prst="rect">
              <a:avLst/>
            </a:prstGeom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142874</xdr:colOff>
      <xdr:row>0</xdr:row>
      <xdr:rowOff>104775</xdr:rowOff>
    </xdr:from>
    <xdr:to>
      <xdr:col>11</xdr:col>
      <xdr:colOff>9524</xdr:colOff>
      <xdr:row>0</xdr:row>
      <xdr:rowOff>259715</xdr:rowOff>
    </xdr:to>
    <xdr:grpSp>
      <xdr:nvGrpSpPr>
        <xdr:cNvPr id="11" name="Header artwork group" descr="&quot;&quot;" title="Header artwork"/>
        <xdr:cNvGrpSpPr/>
      </xdr:nvGrpSpPr>
      <xdr:grpSpPr>
        <a:xfrm>
          <a:off x="142874" y="104775"/>
          <a:ext cx="11982450" cy="154940"/>
          <a:chOff x="142875" y="85725"/>
          <a:chExt cx="7705905" cy="164465"/>
        </a:xfrm>
      </xdr:grpSpPr>
      <xdr:sp macro="" textlink="">
        <xdr:nvSpPr>
          <xdr:cNvPr id="4" name="Rectangle 3" title="Short Footer Graphic"/>
          <xdr:cNvSpPr/>
        </xdr:nvSpPr>
        <xdr:spPr>
          <a:xfrm>
            <a:off x="142875" y="85725"/>
            <a:ext cx="5120640" cy="164465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45720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marR="91440">
              <a:spcBef>
                <a:spcPts val="0"/>
              </a:spcBef>
              <a:spcAft>
                <a:spcPts val="0"/>
              </a:spcAft>
            </a:pPr>
            <a:r>
              <a:rPr lang="en-US" sz="2500" b="1">
                <a:solidFill>
                  <a:srgbClr val="000000"/>
                </a:solidFill>
                <a:effectLst/>
                <a:ea typeface="Arial"/>
                <a:cs typeface="Times New Roman"/>
              </a:rPr>
              <a:t> </a:t>
            </a:r>
          </a:p>
        </xdr:txBody>
      </xdr:sp>
      <xdr:grpSp>
        <xdr:nvGrpSpPr>
          <xdr:cNvPr id="5" name="Group 4"/>
          <xdr:cNvGrpSpPr/>
        </xdr:nvGrpSpPr>
        <xdr:grpSpPr>
          <a:xfrm>
            <a:off x="5288459" y="85725"/>
            <a:ext cx="2560321" cy="164465"/>
            <a:chOff x="10584357" y="200025"/>
            <a:chExt cx="3749041" cy="164465"/>
          </a:xfrm>
        </xdr:grpSpPr>
        <xdr:sp macro="" textlink="">
          <xdr:nvSpPr>
            <xdr:cNvPr id="6" name="Rectangle 5"/>
            <xdr:cNvSpPr/>
          </xdr:nvSpPr>
          <xdr:spPr>
            <a:xfrm>
              <a:off x="11580747" y="200025"/>
              <a:ext cx="273628" cy="164465"/>
            </a:xfrm>
            <a:prstGeom prst="rect">
              <a:avLst/>
            </a:prstGeom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sp macro="" textlink="">
          <xdr:nvSpPr>
            <xdr:cNvPr id="7" name="Rectangle 6"/>
            <xdr:cNvSpPr/>
          </xdr:nvSpPr>
          <xdr:spPr>
            <a:xfrm>
              <a:off x="10584357" y="200025"/>
              <a:ext cx="995986" cy="164465"/>
            </a:xfrm>
            <a:prstGeom prst="rect">
              <a:avLst/>
            </a:prstGeom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sp macro="" textlink="">
          <xdr:nvSpPr>
            <xdr:cNvPr id="8" name="Rectangle 7"/>
            <xdr:cNvSpPr/>
          </xdr:nvSpPr>
          <xdr:spPr>
            <a:xfrm>
              <a:off x="11852127" y="200025"/>
              <a:ext cx="1003728" cy="164465"/>
            </a:xfrm>
            <a:prstGeom prst="rect">
              <a:avLst/>
            </a:prstGeom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sp macro="" textlink="">
          <xdr:nvSpPr>
            <xdr:cNvPr id="9" name="Rectangle 8"/>
            <xdr:cNvSpPr/>
          </xdr:nvSpPr>
          <xdr:spPr>
            <a:xfrm>
              <a:off x="12855855" y="200025"/>
              <a:ext cx="576377" cy="164465"/>
            </a:xfrm>
            <a:prstGeom prst="rect">
              <a:avLst/>
            </a:prstGeom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sp macro="" textlink="">
          <xdr:nvSpPr>
            <xdr:cNvPr id="10" name="Rectangle 9"/>
            <xdr:cNvSpPr/>
          </xdr:nvSpPr>
          <xdr:spPr>
            <a:xfrm>
              <a:off x="13431724" y="200025"/>
              <a:ext cx="901674" cy="164465"/>
            </a:xfrm>
            <a:prstGeom prst="rect">
              <a:avLst/>
            </a:prstGeom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95251</xdr:rowOff>
    </xdr:from>
    <xdr:to>
      <xdr:col>8</xdr:col>
      <xdr:colOff>8763</xdr:colOff>
      <xdr:row>0</xdr:row>
      <xdr:rowOff>259843</xdr:rowOff>
    </xdr:to>
    <xdr:grpSp>
      <xdr:nvGrpSpPr>
        <xdr:cNvPr id="12" name="Header artwork group" descr="&quot;&quot;" title="Header artwork"/>
        <xdr:cNvGrpSpPr/>
      </xdr:nvGrpSpPr>
      <xdr:grpSpPr>
        <a:xfrm>
          <a:off x="142875" y="95251"/>
          <a:ext cx="7914513" cy="164592"/>
          <a:chOff x="142875" y="104775"/>
          <a:chExt cx="6914767" cy="164465"/>
        </a:xfrm>
      </xdr:grpSpPr>
      <xdr:sp macro="" textlink="">
        <xdr:nvSpPr>
          <xdr:cNvPr id="4" name="Rectangle 3" title="Short Footer Graphic"/>
          <xdr:cNvSpPr/>
        </xdr:nvSpPr>
        <xdr:spPr>
          <a:xfrm>
            <a:off x="142875" y="104775"/>
            <a:ext cx="4672306" cy="164465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45720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pPr marL="0" marR="91440">
              <a:spcBef>
                <a:spcPts val="0"/>
              </a:spcBef>
              <a:spcAft>
                <a:spcPts val="0"/>
              </a:spcAft>
            </a:pPr>
            <a:r>
              <a:rPr lang="en-US" sz="2500" b="1">
                <a:solidFill>
                  <a:srgbClr val="000000"/>
                </a:solidFill>
                <a:effectLst/>
                <a:ea typeface="Arial"/>
                <a:cs typeface="Times New Roman"/>
              </a:rPr>
              <a:t> </a:t>
            </a:r>
          </a:p>
        </xdr:txBody>
      </xdr:sp>
      <xdr:grpSp>
        <xdr:nvGrpSpPr>
          <xdr:cNvPr id="5" name="Group 4"/>
          <xdr:cNvGrpSpPr/>
        </xdr:nvGrpSpPr>
        <xdr:grpSpPr>
          <a:xfrm>
            <a:off x="4848240" y="104775"/>
            <a:ext cx="2199877" cy="164465"/>
            <a:chOff x="10584358" y="200025"/>
            <a:chExt cx="3749040" cy="164465"/>
          </a:xfrm>
        </xdr:grpSpPr>
        <xdr:sp macro="" textlink="">
          <xdr:nvSpPr>
            <xdr:cNvPr id="6" name="Rectangle 5"/>
            <xdr:cNvSpPr/>
          </xdr:nvSpPr>
          <xdr:spPr>
            <a:xfrm>
              <a:off x="11580747" y="200025"/>
              <a:ext cx="273628" cy="164465"/>
            </a:xfrm>
            <a:prstGeom prst="rect">
              <a:avLst/>
            </a:prstGeom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sp macro="" textlink="">
          <xdr:nvSpPr>
            <xdr:cNvPr id="7" name="Rectangle 6"/>
            <xdr:cNvSpPr/>
          </xdr:nvSpPr>
          <xdr:spPr>
            <a:xfrm>
              <a:off x="10584358" y="200025"/>
              <a:ext cx="995986" cy="164465"/>
            </a:xfrm>
            <a:prstGeom prst="rect">
              <a:avLst/>
            </a:prstGeom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sp macro="" textlink="">
          <xdr:nvSpPr>
            <xdr:cNvPr id="8" name="Rectangle 7"/>
            <xdr:cNvSpPr/>
          </xdr:nvSpPr>
          <xdr:spPr>
            <a:xfrm>
              <a:off x="11852127" y="200025"/>
              <a:ext cx="1003728" cy="164465"/>
            </a:xfrm>
            <a:prstGeom prst="rect">
              <a:avLst/>
            </a:prstGeom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sp macro="" textlink="">
          <xdr:nvSpPr>
            <xdr:cNvPr id="9" name="Rectangle 8"/>
            <xdr:cNvSpPr/>
          </xdr:nvSpPr>
          <xdr:spPr>
            <a:xfrm>
              <a:off x="12855855" y="200025"/>
              <a:ext cx="576377" cy="164465"/>
            </a:xfrm>
            <a:prstGeom prst="rect">
              <a:avLst/>
            </a:prstGeom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sp macro="" textlink="">
          <xdr:nvSpPr>
            <xdr:cNvPr id="10" name="Rectangle 9"/>
            <xdr:cNvSpPr/>
          </xdr:nvSpPr>
          <xdr:spPr>
            <a:xfrm>
              <a:off x="13431724" y="200025"/>
              <a:ext cx="901674" cy="164465"/>
            </a:xfrm>
            <a:prstGeom prst="rect">
              <a:avLst/>
            </a:prstGeom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219075</xdr:colOff>
      <xdr:row>5</xdr:row>
      <xdr:rowOff>28575</xdr:rowOff>
    </xdr:from>
    <xdr:to>
      <xdr:col>15</xdr:col>
      <xdr:colOff>77932</xdr:colOff>
      <xdr:row>8</xdr:row>
      <xdr:rowOff>76201</xdr:rowOff>
    </xdr:to>
    <xdr:sp macro="" textlink="">
      <xdr:nvSpPr>
        <xdr:cNvPr id="9" name="Data Entry Note" descr="Click here to select an Invoice No from the drop down list.&#10;" title="Data Entry Note"/>
        <xdr:cNvSpPr/>
      </xdr:nvSpPr>
      <xdr:spPr bwMode="auto">
        <a:xfrm>
          <a:off x="8448675" y="1466850"/>
          <a:ext cx="1238249" cy="714376"/>
        </a:xfrm>
        <a:prstGeom prst="wedgeRectCallout">
          <a:avLst>
            <a:gd name="adj1" fmla="val -64619"/>
            <a:gd name="adj2" fmla="val -21645"/>
          </a:avLst>
        </a:prstGeom>
        <a:solidFill>
          <a:schemeClr val="accent1">
            <a:lumMod val="75000"/>
          </a:schemeClr>
        </a:solidFill>
        <a:ln>
          <a:headEnd type="none" w="med" len="med"/>
          <a:tailEnd type="none" w="med" len="med"/>
        </a:ln>
        <a:ex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lIns="91440" tIns="0" rIns="91440" bIns="0" rtlCol="0" anchor="ctr" upright="1"/>
        <a:lstStyle/>
        <a:p>
          <a:pPr algn="l"/>
          <a:r>
            <a:rPr lang="en-US" sz="900">
              <a:solidFill>
                <a:schemeClr val="bg1"/>
              </a:solidFill>
              <a:latin typeface="+mj-lt"/>
            </a:rPr>
            <a:t>Click here to select an Invoice</a:t>
          </a:r>
          <a:r>
            <a:rPr lang="en-US" sz="900" baseline="0">
              <a:solidFill>
                <a:schemeClr val="bg1"/>
              </a:solidFill>
              <a:latin typeface="+mj-lt"/>
            </a:rPr>
            <a:t> # from the drop down list.</a:t>
          </a:r>
          <a:endParaRPr lang="en-US" sz="900">
            <a:solidFill>
              <a:schemeClr val="bg1"/>
            </a:solidFill>
            <a:latin typeface="+mj-lt"/>
          </a:endParaRP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219075</xdr:colOff>
      <xdr:row>5</xdr:row>
      <xdr:rowOff>28575</xdr:rowOff>
    </xdr:from>
    <xdr:to>
      <xdr:col>15</xdr:col>
      <xdr:colOff>77932</xdr:colOff>
      <xdr:row>8</xdr:row>
      <xdr:rowOff>76201</xdr:rowOff>
    </xdr:to>
    <xdr:sp macro="" textlink="">
      <xdr:nvSpPr>
        <xdr:cNvPr id="2" name="Data Entry Note" descr="Click here to select an Invoice No from the drop down list.&#10;" title="Data Entry Note"/>
        <xdr:cNvSpPr/>
      </xdr:nvSpPr>
      <xdr:spPr bwMode="auto">
        <a:xfrm>
          <a:off x="7705725" y="933450"/>
          <a:ext cx="1230457" cy="733426"/>
        </a:xfrm>
        <a:prstGeom prst="wedgeRectCallout">
          <a:avLst>
            <a:gd name="adj1" fmla="val -64619"/>
            <a:gd name="adj2" fmla="val -21645"/>
          </a:avLst>
        </a:prstGeom>
        <a:solidFill>
          <a:schemeClr val="accent1">
            <a:lumMod val="75000"/>
          </a:schemeClr>
        </a:solidFill>
        <a:ln>
          <a:headEnd type="none" w="med" len="med"/>
          <a:tailEnd type="none" w="med" len="med"/>
        </a:ln>
        <a:ex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wrap="square" lIns="91440" tIns="0" rIns="91440" bIns="0" rtlCol="0" anchor="ctr" upright="1"/>
        <a:lstStyle/>
        <a:p>
          <a:pPr algn="l"/>
          <a:r>
            <a:rPr lang="en-US" sz="900">
              <a:solidFill>
                <a:schemeClr val="bg1"/>
              </a:solidFill>
              <a:latin typeface="+mj-lt"/>
            </a:rPr>
            <a:t>Click here to select an Invoice</a:t>
          </a:r>
          <a:r>
            <a:rPr lang="en-US" sz="900" baseline="0">
              <a:solidFill>
                <a:schemeClr val="bg1"/>
              </a:solidFill>
              <a:latin typeface="+mj-lt"/>
            </a:rPr>
            <a:t> # from the drop down list.</a:t>
          </a:r>
          <a:endParaRPr lang="en-US" sz="900">
            <a:solidFill>
              <a:schemeClr val="bg1"/>
            </a:solidFill>
            <a:latin typeface="+mj-lt"/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4" name="tblInventoryList" displayName="tblInventoryList" ref="B3:H9" totalsRowShown="0">
  <autoFilter ref="B3:H9"/>
  <tableColumns count="7">
    <tableColumn id="10" name="Column1" dataDxfId="78">
      <calculatedColumnFormula>(tblInventoryList[[#This Row],[Quantity in Stock]]&lt;=25)*valHighlight</calculatedColumnFormula>
    </tableColumn>
    <tableColumn id="1" name="Inventory ID" dataDxfId="77"/>
    <tableColumn id="2" name="Name" dataDxfId="76"/>
    <tableColumn id="3" name="Description" dataDxfId="75"/>
    <tableColumn id="4" name="Unit Price" dataDxfId="74"/>
    <tableColumn id="5" name="Quantity in Stock" dataDxfId="73"/>
    <tableColumn id="11" name="Inventory Value" dataDxfId="72">
      <calculatedColumnFormula>tblInventoryList[[#This Row],[Unit Price]]*tblInventoryList[[#This Row],[Quantity in Stock]]</calculatedColumnFormula>
    </tableColumn>
  </tableColumns>
  <tableStyleInfo name="Sales Invoice Table" showFirstColumn="1" showLastColumn="0" showRowStripes="1" showColumnStripes="0"/>
  <extLst>
    <ext xmlns:x14="http://schemas.microsoft.com/office/spreadsheetml/2009/9/main" uri="{504A1905-F514-4f6f-8877-14C23A59335A}">
      <x14:table altText="Inventory Items" altTextSummary="Enter inventory details such as, Inventory ID, Name, Description, Unit Price, Quantity in Stock, Inventory Value (calculated field), Reorder Level, Reorder Time in Days, Quantity in Reorder, and Discontinued. "/>
    </ext>
  </extLst>
</table>
</file>

<file path=xl/tables/table2.xml><?xml version="1.0" encoding="utf-8"?>
<table xmlns="http://schemas.openxmlformats.org/spreadsheetml/2006/main" id="1" name="CustomerList" displayName="CustomerList" ref="B3:L9" totalsRowCount="1">
  <autoFilter ref="B3:L8"/>
  <tableColumns count="11">
    <tableColumn id="9" name="Lookup" totalsRowLabel="Total" totalsRowDxfId="22">
      <calculatedColumnFormula>C4&amp; " - "&amp;D4</calculatedColumnFormula>
    </tableColumn>
    <tableColumn id="1" name="Company #" totalsRowFunction="custom" dataDxfId="69" totalsRowDxfId="21">
      <totalsRowFormula>"Total Customers: "&amp;SUBTOTAL(103,CustomerList[Company '#])</totalsRowFormula>
    </tableColumn>
    <tableColumn id="2" name="Company Name" totalsRowDxfId="20"/>
    <tableColumn id="3" name="Contact Name" totalsRowDxfId="19"/>
    <tableColumn id="4" name="Address" totalsRowDxfId="18"/>
    <tableColumn id="5" name="City" totalsRowDxfId="17"/>
    <tableColumn id="6" name="State" totalsRowDxfId="16"/>
    <tableColumn id="7" name="Mobile" dataDxfId="68" totalsRowDxfId="15"/>
    <tableColumn id="8" name="Phone" dataDxfId="67" totalsRowDxfId="14"/>
    <tableColumn id="10" name="Email" totalsRowDxfId="13"/>
    <tableColumn id="11" name="Fax" dataDxfId="66" totalsRowDxfId="12"/>
  </tableColumns>
  <tableStyleInfo name="Sales Invoice Table" showFirstColumn="0" showLastColumn="0" showRowStripes="1" showColumnStripes="0"/>
</table>
</file>

<file path=xl/tables/table3.xml><?xml version="1.0" encoding="utf-8"?>
<table xmlns="http://schemas.openxmlformats.org/spreadsheetml/2006/main" id="3" name="InvoicesMain" displayName="InvoicesMain" ref="B3:M61" totalsRowCount="1" headerRowDxfId="64" dataDxfId="63" totalsRowDxfId="62">
  <autoFilter ref="B3:M60"/>
  <tableColumns count="12">
    <tableColumn id="1" name="Invoice #" totalsRowLabel="Totals" dataDxfId="61" totalsRowDxfId="11"/>
    <tableColumn id="2" name="Company" totalsRowFunction="custom" dataDxfId="60" totalsRowDxfId="10">
      <totalsRowFormula>"Total Invoices: "&amp;SUBTOTAL(103,InvoicesMain[Invoice '#])</totalsRowFormula>
    </tableColumn>
    <tableColumn id="3" name="Invoice Date" dataDxfId="59" totalsRowDxfId="9"/>
    <tableColumn id="11" name="Detail Total" totalsRowFunction="sum" dataDxfId="58" totalsRowDxfId="8"/>
    <tableColumn id="8" name="Discount" totalsRowFunction="sum" dataDxfId="57" totalsRowDxfId="7"/>
    <tableColumn id="9" name="Other" totalsRowFunction="sum" dataDxfId="56" totalsRowDxfId="6"/>
    <tableColumn id="12" name="Invoice Total" totalsRowFunction="sum" dataDxfId="55" totalsRowDxfId="5">
      <calculatedColumnFormula>InvoicesMain[[#This Row],[Detail Total]]+InvoicesMain[[#This Row],[Other]]</calculatedColumnFormula>
    </tableColumn>
    <tableColumn id="6" name="Deposit" totalsRowFunction="sum" dataDxfId="54" totalsRowDxfId="4"/>
    <tableColumn id="4" name="Balance" totalsRowFunction="sum" dataDxfId="53" totalsRowDxfId="3">
      <calculatedColumnFormula>InvoicesMain[[#This Row],[Invoice Total]]-InvoicesMain[[#This Row],[Deposit]]</calculatedColumnFormula>
    </tableColumn>
    <tableColumn id="5" name="Notes" dataDxfId="52" totalsRowDxfId="2"/>
    <tableColumn id="7" name="Payment Received" dataDxfId="51" totalsRowDxfId="1"/>
    <tableColumn id="10" name="Date" dataDxfId="50" totalsRowDxfId="0"/>
  </tableColumns>
  <tableStyleInfo name="Sales Invoice Table" showFirstColumn="0" showLastColumn="0" showRowStripes="1" showColumnStripes="0"/>
</table>
</file>

<file path=xl/tables/table4.xml><?xml version="1.0" encoding="utf-8"?>
<table xmlns="http://schemas.openxmlformats.org/spreadsheetml/2006/main" id="2" name="InvoiceDetails" displayName="InvoiceDetails" ref="B3:H364" totalsRowShown="0" headerRowDxfId="48">
  <autoFilter ref="B3:H364"/>
  <sortState ref="B5:H40">
    <sortCondition ref="C4:C40"/>
  </sortState>
  <tableColumns count="7">
    <tableColumn id="2" name="Description" dataDxfId="47"/>
    <tableColumn id="1" name="Invoice #" dataDxfId="46"/>
    <tableColumn id="4" name="Item #" dataDxfId="45"/>
    <tableColumn id="3" name="Qty" dataDxfId="44"/>
    <tableColumn id="6" name="Unit Price" dataDxfId="43"/>
    <tableColumn id="5" name="Discount" dataDxfId="42"/>
    <tableColumn id="10" name="Total" dataDxfId="41"/>
  </tableColumns>
  <tableStyleInfo name="Sales Invoice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oncourse">
      <a:dk1>
        <a:sysClr val="windowText" lastClr="000000"/>
      </a:dk1>
      <a:lt1>
        <a:sysClr val="window" lastClr="FFFFFF"/>
      </a:lt1>
      <a:dk2>
        <a:srgbClr val="464646"/>
      </a:dk2>
      <a:lt2>
        <a:srgbClr val="DEF5FA"/>
      </a:lt2>
      <a:accent1>
        <a:srgbClr val="2DA2BF"/>
      </a:accent1>
      <a:accent2>
        <a:srgbClr val="DA1F28"/>
      </a:accent2>
      <a:accent3>
        <a:srgbClr val="EB641B"/>
      </a:accent3>
      <a:accent4>
        <a:srgbClr val="39639D"/>
      </a:accent4>
      <a:accent5>
        <a:srgbClr val="474B78"/>
      </a:accent5>
      <a:accent6>
        <a:srgbClr val="7D3C4A"/>
      </a:accent6>
      <a:hlink>
        <a:srgbClr val="FF8119"/>
      </a:hlink>
      <a:folHlink>
        <a:srgbClr val="44B9E8"/>
      </a:folHlink>
    </a:clrScheme>
    <a:fontScheme name="Sales Invoice">
      <a:majorFont>
        <a:latin typeface="Aria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nayar@gmailc" TargetMode="External"/><Relationship Id="rId2" Type="http://schemas.openxmlformats.org/officeDocument/2006/relationships/hyperlink" Target="mailto:someone@example.com" TargetMode="External"/><Relationship Id="rId1" Type="http://schemas.openxmlformats.org/officeDocument/2006/relationships/hyperlink" Target="mailto:someone@example.com" TargetMode="External"/><Relationship Id="rId6" Type="http://schemas.openxmlformats.org/officeDocument/2006/relationships/table" Target="../tables/table2.x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1:L25"/>
  <sheetViews>
    <sheetView showGridLines="0" tabSelected="1" showWhiteSpace="0" zoomScaleNormal="100" zoomScalePageLayoutView="40" workbookViewId="0">
      <selection activeCell="J4" sqref="J4"/>
    </sheetView>
  </sheetViews>
  <sheetFormatPr defaultRowHeight="12.75" x14ac:dyDescent="0.2"/>
  <cols>
    <col min="1" max="1" width="2.28515625" customWidth="1"/>
    <col min="2" max="2" width="13.42578125" customWidth="1"/>
    <col min="3" max="3" width="13.42578125" hidden="1" customWidth="1"/>
    <col min="4" max="4" width="22" customWidth="1"/>
    <col min="5" max="5" width="10.7109375" customWidth="1"/>
    <col min="6" max="6" width="10.28515625" customWidth="1"/>
    <col min="7" max="7" width="13.85546875" customWidth="1"/>
    <col min="8" max="8" width="11.5703125" customWidth="1"/>
    <col min="9" max="9" width="17.7109375" customWidth="1"/>
    <col min="14" max="14" width="10" customWidth="1"/>
  </cols>
  <sheetData>
    <row r="1" spans="2:12" ht="33" customHeight="1" x14ac:dyDescent="0.2">
      <c r="B1" s="175" t="s">
        <v>2</v>
      </c>
      <c r="C1" s="175"/>
      <c r="D1" s="175"/>
      <c r="E1" s="175"/>
      <c r="F1" s="175"/>
      <c r="G1" s="70"/>
      <c r="H1" s="70"/>
      <c r="I1" s="76" t="s">
        <v>76</v>
      </c>
    </row>
    <row r="2" spans="2:12" x14ac:dyDescent="0.2">
      <c r="B2" s="86" t="s">
        <v>12</v>
      </c>
      <c r="C2" s="86"/>
      <c r="D2" s="123"/>
      <c r="E2" s="86" t="s">
        <v>13</v>
      </c>
      <c r="F2" s="176"/>
      <c r="G2" s="176"/>
      <c r="H2" s="86" t="s">
        <v>43</v>
      </c>
      <c r="I2" s="87"/>
    </row>
    <row r="3" spans="2:12" ht="11.25" customHeight="1" x14ac:dyDescent="0.2">
      <c r="B3" s="75"/>
      <c r="C3" s="75"/>
      <c r="D3" s="75"/>
      <c r="E3" s="75"/>
      <c r="F3" s="75"/>
      <c r="G3" s="75"/>
      <c r="H3" s="75"/>
      <c r="I3" s="75"/>
    </row>
    <row r="4" spans="2:12" ht="15.75" customHeight="1" x14ac:dyDescent="0.2">
      <c r="B4" s="85" t="s">
        <v>11</v>
      </c>
      <c r="C4" s="85"/>
      <c r="D4" s="132"/>
      <c r="E4" s="85" t="s">
        <v>13</v>
      </c>
      <c r="F4" s="163">
        <f>IF(D4=Customers!D4,Customers!J4,
IF(D4=Customers!D5,Customers!J5,
IF(D4=Customers!D6,Customers!J6,
IF(D4=Customers!D7,Customers!J7,
IF(D4=Customers!D8,Customers!J8,"New Customer")))))</f>
        <v>0</v>
      </c>
      <c r="G4" s="163"/>
      <c r="H4" s="106" t="s">
        <v>37</v>
      </c>
      <c r="I4" s="133"/>
      <c r="K4" s="168" t="str">
        <f>IF(I4='Invoices - Main'!B4:B60,"Already used","")</f>
        <v/>
      </c>
      <c r="L4" s="168"/>
    </row>
    <row r="5" spans="2:12" ht="15.75" x14ac:dyDescent="0.2">
      <c r="B5" s="85" t="s">
        <v>12</v>
      </c>
      <c r="C5" s="85"/>
      <c r="D5" s="164">
        <f>IF(D4=Customers!D4,Customers!F4,IF(D4=Customers!D5,Customers!F5,IF(D4=Customers!D6,Customers!F6,IF(D4=Customers!D7,Customers!F7,IF(D4=Customers!D8,Customers!F8,"New Customer")))))</f>
        <v>0</v>
      </c>
      <c r="E5" s="85" t="s">
        <v>74</v>
      </c>
      <c r="F5" s="163">
        <f>IF(D4=Customers!D4,Customers!I4,
IF(D4=Customers!D5,Customers!I5,
IF(D4=Customers!D6,Customers!I6,
IF(D4=Customers!D7,Customers!I7,
IF(D4=Customers!D8,Customers!I8,"New Customer")))))</f>
        <v>0</v>
      </c>
      <c r="G5" s="163"/>
      <c r="H5" s="106" t="s">
        <v>14</v>
      </c>
      <c r="I5" s="157"/>
    </row>
    <row r="6" spans="2:12" ht="15.75" customHeight="1" x14ac:dyDescent="0.2">
      <c r="B6" s="85"/>
      <c r="C6" s="85"/>
      <c r="D6" s="164"/>
      <c r="E6" s="85" t="s">
        <v>43</v>
      </c>
      <c r="F6" s="171">
        <f>IF(D4=Customers!D4,Customers!K4,
IF(D4=Customers!D5,Customers!K5,
IF(D4=Customers!D6,Customers!K6,
IF(D4=Customers!D7,Customers!K7,
IF(D4=Customers!D8,Customers!K8,"New Customer")))))</f>
        <v>0</v>
      </c>
      <c r="G6" s="171"/>
      <c r="H6" s="171"/>
      <c r="I6" s="171"/>
    </row>
    <row r="7" spans="2:12" ht="20.25" customHeight="1" x14ac:dyDescent="0.2">
      <c r="B7" s="71" t="s">
        <v>31</v>
      </c>
      <c r="C7" s="72" t="s">
        <v>81</v>
      </c>
      <c r="D7" s="165" t="s">
        <v>7</v>
      </c>
      <c r="E7" s="165"/>
      <c r="F7" s="72" t="s">
        <v>75</v>
      </c>
      <c r="G7" s="72" t="s">
        <v>23</v>
      </c>
      <c r="H7" s="72" t="s">
        <v>22</v>
      </c>
      <c r="I7" s="112" t="s">
        <v>21</v>
      </c>
    </row>
    <row r="8" spans="2:12" s="77" customFormat="1" ht="14.25" customHeight="1" x14ac:dyDescent="0.2">
      <c r="B8" s="124"/>
      <c r="C8" s="109" t="str">
        <f>IF(B8="","",I4)</f>
        <v/>
      </c>
      <c r="D8" s="166">
        <f>IF(B8=Inventory_List!D4,Inventory_List!E4,IF(B8=Inventory_List!D5,Inventory_List!E5,IF(B8=Inventory_List!D6,Inventory_List!E6,IF(B8=Inventory_List!D7,Inventory_List!E7,IF(B8=Inventory_List!D8,Inventory_List!E8,IF(B8=Inventory_List!D9,Inventory_List!E9,IF(B8=Inventory_List!D10,Inventory_List!E10,"New item - Update Inventory List First"))))))
)</f>
        <v>0</v>
      </c>
      <c r="E8" s="167"/>
      <c r="F8" s="126"/>
      <c r="G8" s="81">
        <f>IF(B8=Inventory_List!D4,Inventory_List!F4,
IF(B8=Inventory_List!D5,Inventory_List!F5,
IF(B8=Inventory_List!D6,Inventory_List!F6,
IF(B8=Inventory_List!D7,Inventory_List!F7,
IF(B8=Inventory_List!D8,Inventory_List!F8,
IF(B8=Inventory_List!D9,Inventory_List!F9,
IF(B8=Inventory_List!D10,Inventory_List!F10,
"New item - Update Inventory List First")))))))</f>
        <v>0</v>
      </c>
      <c r="H8" s="128"/>
      <c r="I8" s="82">
        <f>F8*(G8-H8)</f>
        <v>0</v>
      </c>
      <c r="J8" s="160"/>
      <c r="K8" s="160"/>
    </row>
    <row r="9" spans="2:12" s="77" customFormat="1" ht="14.25" customHeight="1" x14ac:dyDescent="0.2">
      <c r="B9" s="125"/>
      <c r="C9" s="110" t="str">
        <f>IF(B9="","",I4)</f>
        <v/>
      </c>
      <c r="D9" s="161">
        <f>IF(B9=Inventory_List!D4,Inventory_List!E4,IF(B9=Inventory_List!D5,Inventory_List!E5,IF(B9=Inventory_List!D6,Inventory_List!E6,IF(B9=Inventory_List!D7,Inventory_List!E7,IF(B9=Inventory_List!D8,Inventory_List!E8,IF(B9=Inventory_List!D9,Inventory_List!E9,IF(B9=Inventory_List!D10,Inventory_List!E10,"New item - Update Inventory List First"))))))
)</f>
        <v>0</v>
      </c>
      <c r="E9" s="162"/>
      <c r="F9" s="127"/>
      <c r="G9" s="83">
        <f>IF(B9=Inventory_List!D4,Inventory_List!F4,
IF(B9=Inventory_List!D5,Inventory_List!F5,
IF(B9=Inventory_List!D6,Inventory_List!F6,
IF(B9=Inventory_List!D7,Inventory_List!F7,
IF(B9=Inventory_List!D8,Inventory_List!F8,
IF(B9=Inventory_List!D9,Inventory_List!F9,
IF(B9=Inventory_List!D10,Inventory_List!F10,
"New item - Update Inventory List First")))))))</f>
        <v>0</v>
      </c>
      <c r="H9" s="129"/>
      <c r="I9" s="83">
        <f t="shared" ref="I9:I19" si="0">(F9*G9)-H9</f>
        <v>0</v>
      </c>
    </row>
    <row r="10" spans="2:12" s="77" customFormat="1" ht="14.25" customHeight="1" x14ac:dyDescent="0.2">
      <c r="B10" s="124"/>
      <c r="C10" s="109" t="str">
        <f>IF(B10="","",I4)</f>
        <v/>
      </c>
      <c r="D10" s="166">
        <f>IF(B10=Inventory_List!D4,Inventory_List!E4,IF(B10=Inventory_List!D5,Inventory_List!E5,IF(B10=Inventory_List!D6,Inventory_List!E6,IF(B10=Inventory_List!D7,Inventory_List!E7,IF(B10=Inventory_List!D8,Inventory_List!E8,IF(B10=Inventory_List!D9,Inventory_List!E9,IF(B10=Inventory_List!D10,Inventory_List!E10,"New item - Update Inventory List First"))))))
)</f>
        <v>0</v>
      </c>
      <c r="E10" s="167"/>
      <c r="F10" s="126"/>
      <c r="G10" s="81">
        <f>IF(B10=Inventory_List!D4,Inventory_List!F4,
IF(B10=Inventory_List!D5,Inventory_List!F5,
IF(B10=Inventory_List!D6,Inventory_List!F6,
IF(B10=Inventory_List!D7,Inventory_List!F7,
IF(B10=Inventory_List!D8,Inventory_List!F8,
IF(B10=Inventory_List!D9,Inventory_List!F9,
IF(B10=Inventory_List!D10,Inventory_List!F10,
"New item - Update Inventory List First")))))))</f>
        <v>0</v>
      </c>
      <c r="H10" s="128"/>
      <c r="I10" s="82">
        <f t="shared" si="0"/>
        <v>0</v>
      </c>
    </row>
    <row r="11" spans="2:12" s="77" customFormat="1" ht="14.25" customHeight="1" x14ac:dyDescent="0.2">
      <c r="B11" s="125"/>
      <c r="C11" s="110" t="str">
        <f>IF(B11="","",I4)</f>
        <v/>
      </c>
      <c r="D11" s="161">
        <f>IF(B11=Inventory_List!D4,Inventory_List!E4,IF(B11=Inventory_List!D5,Inventory_List!E5,IF(B11=Inventory_List!D6,Inventory_List!E6,IF(B11=Inventory_List!D7,Inventory_List!E7,IF(B11=Inventory_List!D8,Inventory_List!E8,IF(B11=Inventory_List!D9,Inventory_List!E9,IF(B11=Inventory_List!D10,Inventory_List!E10,"New item - Update Inventory List First"))))))
)</f>
        <v>0</v>
      </c>
      <c r="E11" s="162"/>
      <c r="F11" s="127"/>
      <c r="G11" s="83">
        <f>IF(B11=Inventory_List!D4,Inventory_List!F4,
IF(B11=Inventory_List!D5,Inventory_List!F5,
IF(B11=Inventory_List!D6,Inventory_List!F6,
IF(B11=Inventory_List!D7,Inventory_List!F7,
IF(B11=Inventory_List!D8,Inventory_List!F8,
IF(B11=Inventory_List!D9,Inventory_List!F9,
IF(B11=Inventory_List!D10,Inventory_List!F10,
"New item - Update Inventory List First")))))))</f>
        <v>0</v>
      </c>
      <c r="H11" s="129"/>
      <c r="I11" s="83">
        <f t="shared" si="0"/>
        <v>0</v>
      </c>
    </row>
    <row r="12" spans="2:12" s="77" customFormat="1" ht="14.25" customHeight="1" x14ac:dyDescent="0.2">
      <c r="B12" s="124"/>
      <c r="C12" s="109" t="str">
        <f>IF(B12="","",I4)</f>
        <v/>
      </c>
      <c r="D12" s="166">
        <f>IF(B12=Inventory_List!D4,Inventory_List!E4,IF(B12=Inventory_List!D5,Inventory_List!E5,IF(B12=Inventory_List!D6,Inventory_List!E6,IF(B12=Inventory_List!D7,Inventory_List!E7,IF(B12=Inventory_List!D8,Inventory_List!E8,IF(B12=Inventory_List!D9,Inventory_List!E9,IF(B12=Inventory_List!D10,Inventory_List!E10,"New item - Update Inventory List First"))))))
)</f>
        <v>0</v>
      </c>
      <c r="E12" s="167"/>
      <c r="F12" s="126"/>
      <c r="G12" s="81">
        <f>IF(B12=Inventory_List!D4,Inventory_List!F4,
IF(B12=Inventory_List!D5,Inventory_List!F5,
IF(B12=Inventory_List!D6,Inventory_List!F6,
IF(B12=Inventory_List!D7,Inventory_List!F7,
IF(B12=Inventory_List!D8,Inventory_List!F8,
IF(B12=Inventory_List!D9,Inventory_List!F9,
IF(B12=Inventory_List!D10,Inventory_List!F10,
"New item - Update Inventory List First")))))))</f>
        <v>0</v>
      </c>
      <c r="H12" s="128"/>
      <c r="I12" s="82">
        <f t="shared" si="0"/>
        <v>0</v>
      </c>
    </row>
    <row r="13" spans="2:12" s="77" customFormat="1" ht="14.25" customHeight="1" x14ac:dyDescent="0.2">
      <c r="B13" s="125"/>
      <c r="C13" s="110" t="str">
        <f>IF(B13="","",I4)</f>
        <v/>
      </c>
      <c r="D13" s="161">
        <f>IF(B13=Inventory_List!D4,Inventory_List!E4,IF(B13=Inventory_List!D5,Inventory_List!E5,IF(B13=Inventory_List!D6,Inventory_List!E6,IF(B13=Inventory_List!D7,Inventory_List!E7,IF(B13=Inventory_List!D8,Inventory_List!E8,IF(B13=Inventory_List!D9,Inventory_List!E9,IF(B13=Inventory_List!D10,Inventory_List!E10,"New item - Update Inventory List First"))))))
)</f>
        <v>0</v>
      </c>
      <c r="E13" s="162"/>
      <c r="F13" s="127"/>
      <c r="G13" s="83">
        <f>IF(B13=Inventory_List!D4,Inventory_List!F4,
IF(B13=Inventory_List!D5,Inventory_List!F5,
IF(B13=Inventory_List!D6,Inventory_List!F6,
IF(B13=Inventory_List!D7,Inventory_List!F7,
IF(B13=Inventory_List!D8,Inventory_List!F8,
IF(B13=Inventory_List!D9,Inventory_List!F9,
IF(B13=Inventory_List!D10,Inventory_List!F10,
"New item - Update Inventory List First")))))))</f>
        <v>0</v>
      </c>
      <c r="H13" s="129"/>
      <c r="I13" s="83">
        <f t="shared" si="0"/>
        <v>0</v>
      </c>
    </row>
    <row r="14" spans="2:12" s="77" customFormat="1" ht="14.25" customHeight="1" x14ac:dyDescent="0.2">
      <c r="B14" s="124"/>
      <c r="C14" s="109" t="str">
        <f>IF(B14="","",I4)</f>
        <v/>
      </c>
      <c r="D14" s="166">
        <f>IF(B14=Inventory_List!D4,Inventory_List!E4,IF(B14=Inventory_List!D5,Inventory_List!E5,IF(B14=Inventory_List!D6,Inventory_List!E6,IF(B14=Inventory_List!D7,Inventory_List!E7,IF(B14=Inventory_List!D8,Inventory_List!E8,IF(B14=Inventory_List!D9,Inventory_List!E9,IF(B14=Inventory_List!D10,Inventory_List!E10,"New item - Update Inventory List First"))))))
)</f>
        <v>0</v>
      </c>
      <c r="E14" s="167"/>
      <c r="F14" s="126"/>
      <c r="G14" s="81">
        <f>IF(B14=Inventory_List!D4,Inventory_List!F4,
IF(B14=Inventory_List!D5,Inventory_List!F5,
IF(B14=Inventory_List!D6,Inventory_List!F6,
IF(B14=Inventory_List!D7,Inventory_List!F7,
IF(B14=Inventory_List!D8,Inventory_List!F8,
IF(B14=Inventory_List!D9,Inventory_List!F9,
IF(B14=Inventory_List!D10,Inventory_List!F10,
"New item - Update Inventory List First")))))))</f>
        <v>0</v>
      </c>
      <c r="H14" s="128"/>
      <c r="I14" s="82">
        <f t="shared" si="0"/>
        <v>0</v>
      </c>
    </row>
    <row r="15" spans="2:12" s="77" customFormat="1" ht="14.25" customHeight="1" x14ac:dyDescent="0.2">
      <c r="B15" s="125"/>
      <c r="C15" s="110" t="str">
        <f>IF(B15="","",I4)</f>
        <v/>
      </c>
      <c r="D15" s="161">
        <f>IF(B15=Inventory_List!D4,Inventory_List!E4,IF(B15=Inventory_List!D5,Inventory_List!E5,IF(B15=Inventory_List!D6,Inventory_List!E6,IF(B15=Inventory_List!D7,Inventory_List!E7,IF(B15=Inventory_List!D8,Inventory_List!E8,IF(B15=Inventory_List!D9,Inventory_List!E9,IF(B15=Inventory_List!D10,Inventory_List!E10,"New item - Update Inventory List First"))))))
)</f>
        <v>0</v>
      </c>
      <c r="E15" s="162"/>
      <c r="F15" s="127"/>
      <c r="G15" s="83">
        <f>IF(B15=Inventory_List!D4,Inventory_List!F4,
IF(B15=Inventory_List!D5,Inventory_List!F5,
IF(B15=Inventory_List!D6,Inventory_List!F6,
IF(B15=Inventory_List!D7,Inventory_List!F7,
IF(B15=Inventory_List!D8,Inventory_List!F8,
IF(B15=Inventory_List!D9,Inventory_List!F9,
IF(B15=Inventory_List!D10,Inventory_List!F10,
"New item - Update Inventory List First")))))))</f>
        <v>0</v>
      </c>
      <c r="H15" s="129"/>
      <c r="I15" s="83">
        <f t="shared" si="0"/>
        <v>0</v>
      </c>
    </row>
    <row r="16" spans="2:12" s="77" customFormat="1" ht="14.25" customHeight="1" x14ac:dyDescent="0.2">
      <c r="B16" s="124"/>
      <c r="C16" s="109" t="str">
        <f>IF(B16="","",I4)</f>
        <v/>
      </c>
      <c r="D16" s="166">
        <f>IF(B16=Inventory_List!D4,Inventory_List!E4,IF(B16=Inventory_List!D5,Inventory_List!E5,IF(B16=Inventory_List!D6,Inventory_List!E6,IF(B16=Inventory_List!D7,Inventory_List!E7,IF(B16=Inventory_List!D8,Inventory_List!E8,IF(B16=Inventory_List!D9,Inventory_List!E9,IF(B16=Inventory_List!D10,Inventory_List!E10,"New item - Update Inventory List First"))))))
)</f>
        <v>0</v>
      </c>
      <c r="E16" s="167"/>
      <c r="F16" s="126"/>
      <c r="G16" s="81">
        <f>IF(B16=Inventory_List!D4,Inventory_List!F4,
IF(B16=Inventory_List!D5,Inventory_List!F5,
IF(B16=Inventory_List!D6,Inventory_List!F6,
IF(B16=Inventory_List!D7,Inventory_List!F7,
IF(B16=Inventory_List!D8,Inventory_List!F8,
IF(B16=Inventory_List!D9,Inventory_List!F9,
IF(B16=Inventory_List!D10,Inventory_List!F10,
"New item - Update Inventory List First")))))))</f>
        <v>0</v>
      </c>
      <c r="H16" s="128"/>
      <c r="I16" s="82">
        <f t="shared" si="0"/>
        <v>0</v>
      </c>
    </row>
    <row r="17" spans="2:12" s="77" customFormat="1" ht="14.25" customHeight="1" x14ac:dyDescent="0.2">
      <c r="B17" s="125"/>
      <c r="C17" s="110" t="str">
        <f>IF(B17="","",I4)</f>
        <v/>
      </c>
      <c r="D17" s="161">
        <f>IF(B17=Inventory_List!D4,Inventory_List!E4,IF(B17=Inventory_List!D5,Inventory_List!E5,IF(B17=Inventory_List!D6,Inventory_List!E6,IF(B17=Inventory_List!D7,Inventory_List!E7,IF(B17=Inventory_List!D8,Inventory_List!E8,IF(B17=Inventory_List!D9,Inventory_List!E9,IF(B17=Inventory_List!D10,Inventory_List!E10,"New item - Update Inventory List First"))))))
)</f>
        <v>0</v>
      </c>
      <c r="E17" s="162"/>
      <c r="F17" s="127"/>
      <c r="G17" s="83">
        <f>IF(B17=Inventory_List!D4,Inventory_List!F4,
IF(B17=Inventory_List!D5,Inventory_List!F5,
IF(B17=Inventory_List!D6,Inventory_List!F6,
IF(B17=Inventory_List!D7,Inventory_List!F7,
IF(B17=Inventory_List!D8,Inventory_List!F8,
IF(B17=Inventory_List!D9,Inventory_List!F9,
IF(B17=Inventory_List!D10,Inventory_List!F10,
"New item - Update Inventory List First")))))))</f>
        <v>0</v>
      </c>
      <c r="H17" s="129"/>
      <c r="I17" s="83">
        <f t="shared" si="0"/>
        <v>0</v>
      </c>
    </row>
    <row r="18" spans="2:12" s="77" customFormat="1" ht="14.25" customHeight="1" x14ac:dyDescent="0.2">
      <c r="B18" s="124"/>
      <c r="C18" s="109" t="str">
        <f>IF(B18="","",I4)</f>
        <v/>
      </c>
      <c r="D18" s="166">
        <f>IF(B18=Inventory_List!D4,Inventory_List!E4,IF(B18=Inventory_List!D5,Inventory_List!E5,IF(B18=Inventory_List!D6,Inventory_List!E6,IF(B18=Inventory_List!D7,Inventory_List!E7,IF(B18=Inventory_List!D8,Inventory_List!E8,IF(B18=Inventory_List!D9,Inventory_List!E9,IF(B18=Inventory_List!D10,Inventory_List!E10,"New item - Update Inventory List First"))))))
)</f>
        <v>0</v>
      </c>
      <c r="E18" s="167"/>
      <c r="F18" s="126"/>
      <c r="G18" s="81">
        <f>IF(B18=Inventory_List!D4,Inventory_List!F4,
IF(B18=Inventory_List!D5,Inventory_List!F5,
IF(B18=Inventory_List!D6,Inventory_List!F6,
IF(B18=Inventory_List!D7,Inventory_List!F7,
IF(B18=Inventory_List!D8,Inventory_List!F8,
IF(B18=Inventory_List!D9,Inventory_List!F9,
IF(B18=Inventory_List!D10,Inventory_List!F10,
"New item - Update Inventory List First")))))))</f>
        <v>0</v>
      </c>
      <c r="H18" s="128"/>
      <c r="I18" s="82">
        <f t="shared" si="0"/>
        <v>0</v>
      </c>
      <c r="K18"/>
      <c r="L18"/>
    </row>
    <row r="19" spans="2:12" s="77" customFormat="1" ht="14.25" customHeight="1" x14ac:dyDescent="0.2">
      <c r="B19" s="125"/>
      <c r="C19" s="110" t="str">
        <f>IF(B19="","",I4)</f>
        <v/>
      </c>
      <c r="D19" s="161">
        <f>IF(B19=Inventory_List!D4,Inventory_List!E4,IF(B19=Inventory_List!D5,Inventory_List!E5,IF(B19=Inventory_List!D6,Inventory_List!E6,IF(B19=Inventory_List!D7,Inventory_List!E7,IF(B19=Inventory_List!D8,Inventory_List!E8,IF(B19=Inventory_List!D9,Inventory_List!E9,IF(B19=Inventory_List!D10,Inventory_List!E10,"New item - Update Inventory List First"))))))
)</f>
        <v>0</v>
      </c>
      <c r="E19" s="162"/>
      <c r="F19" s="127"/>
      <c r="G19" s="83">
        <f>IF(B19=Inventory_List!D4,Inventory_List!F4,
IF(B19=Inventory_List!D5,Inventory_List!F5,
IF(B19=Inventory_List!D6,Inventory_List!F6,
IF(B19=Inventory_List!D7,Inventory_List!F7,
IF(B19=Inventory_List!D8,Inventory_List!F8,
IF(B19=Inventory_List!D9,Inventory_List!F9,
IF(B19=Inventory_List!D10,Inventory_List!F10,
"New item - Update Inventory List First")))))))</f>
        <v>0</v>
      </c>
      <c r="H19" s="129"/>
      <c r="I19" s="83">
        <f t="shared" si="0"/>
        <v>0</v>
      </c>
      <c r="K19"/>
      <c r="L19"/>
    </row>
    <row r="20" spans="2:12" ht="14.25" customHeight="1" x14ac:dyDescent="0.2">
      <c r="B20" s="84"/>
      <c r="C20" s="84"/>
      <c r="D20" s="84"/>
      <c r="E20" s="84"/>
      <c r="F20" s="84"/>
      <c r="G20" s="173" t="s">
        <v>16</v>
      </c>
      <c r="H20" s="174"/>
      <c r="I20" s="78">
        <f>SUM(I8:I19)</f>
        <v>0</v>
      </c>
    </row>
    <row r="21" spans="2:12" ht="14.25" customHeight="1" x14ac:dyDescent="0.2">
      <c r="B21" s="84"/>
      <c r="C21" s="84"/>
      <c r="D21" s="84"/>
      <c r="E21" s="84"/>
      <c r="F21" s="84"/>
      <c r="G21" s="177" t="s">
        <v>22</v>
      </c>
      <c r="H21" s="178"/>
      <c r="I21" s="79">
        <f>SUM(H8:H19)</f>
        <v>0</v>
      </c>
    </row>
    <row r="22" spans="2:12" ht="14.25" customHeight="1" x14ac:dyDescent="0.2">
      <c r="B22" s="85" t="s">
        <v>80</v>
      </c>
      <c r="C22" s="85"/>
      <c r="D22" s="172"/>
      <c r="E22" s="172"/>
      <c r="F22" s="84"/>
      <c r="G22" s="173" t="s">
        <v>17</v>
      </c>
      <c r="H22" s="174"/>
      <c r="I22" s="130"/>
    </row>
    <row r="23" spans="2:12" ht="14.25" customHeight="1" x14ac:dyDescent="0.2">
      <c r="B23" s="84"/>
      <c r="C23" s="84"/>
      <c r="D23" s="172"/>
      <c r="E23" s="172"/>
      <c r="F23" s="84"/>
      <c r="G23" s="179" t="s">
        <v>35</v>
      </c>
      <c r="H23" s="180"/>
      <c r="I23" s="80">
        <f>SUM(I20,I22)</f>
        <v>0</v>
      </c>
    </row>
    <row r="24" spans="2:12" ht="14.25" customHeight="1" x14ac:dyDescent="0.2">
      <c r="B24" s="84"/>
      <c r="C24" s="84"/>
      <c r="D24" s="172"/>
      <c r="E24" s="172"/>
      <c r="F24" s="84"/>
      <c r="G24" s="177" t="s">
        <v>15</v>
      </c>
      <c r="H24" s="178"/>
      <c r="I24" s="131"/>
    </row>
    <row r="25" spans="2:12" ht="14.25" customHeight="1" x14ac:dyDescent="0.2">
      <c r="B25" s="84"/>
      <c r="C25" s="84"/>
      <c r="D25" s="172"/>
      <c r="E25" s="172"/>
      <c r="F25" s="84"/>
      <c r="G25" s="169" t="s">
        <v>77</v>
      </c>
      <c r="H25" s="170"/>
      <c r="I25" s="113">
        <f>I23-I24</f>
        <v>0</v>
      </c>
    </row>
  </sheetData>
  <sheetProtection sheet="1" objects="1" scenarios="1" formatCells="0" formatColumns="0" formatRows="0" selectLockedCells="1"/>
  <mergeCells count="28">
    <mergeCell ref="B1:F1"/>
    <mergeCell ref="F2:G2"/>
    <mergeCell ref="G20:H20"/>
    <mergeCell ref="G21:H21"/>
    <mergeCell ref="G24:H24"/>
    <mergeCell ref="G23:H23"/>
    <mergeCell ref="G25:H25"/>
    <mergeCell ref="F6:I6"/>
    <mergeCell ref="D22:E25"/>
    <mergeCell ref="G22:H22"/>
    <mergeCell ref="D18:E18"/>
    <mergeCell ref="D19:E19"/>
    <mergeCell ref="D16:E16"/>
    <mergeCell ref="D17:E17"/>
    <mergeCell ref="D10:E10"/>
    <mergeCell ref="D11:E11"/>
    <mergeCell ref="D12:E12"/>
    <mergeCell ref="D13:E13"/>
    <mergeCell ref="D14:E14"/>
    <mergeCell ref="D15:E15"/>
    <mergeCell ref="J8:K8"/>
    <mergeCell ref="D9:E9"/>
    <mergeCell ref="F4:G4"/>
    <mergeCell ref="F5:G5"/>
    <mergeCell ref="D5:D6"/>
    <mergeCell ref="D7:E7"/>
    <mergeCell ref="D8:E8"/>
    <mergeCell ref="K4:L4"/>
  </mergeCells>
  <pageMargins left="0.25" right="0.25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ommandButton1">
          <controlPr defaultSize="0" autoLine="0" r:id="rId5">
            <anchor moveWithCells="1">
              <from>
                <xdr:col>9</xdr:col>
                <xdr:colOff>152400</xdr:colOff>
                <xdr:row>0</xdr:row>
                <xdr:rowOff>247650</xdr:rowOff>
              </from>
              <to>
                <xdr:col>10</xdr:col>
                <xdr:colOff>466725</xdr:colOff>
                <xdr:row>2</xdr:row>
                <xdr:rowOff>57150</xdr:rowOff>
              </to>
            </anchor>
          </controlPr>
        </control>
      </mc:Choice>
      <mc:Fallback>
        <control shapeId="11270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Inventory_List!$D$4:$D$9</xm:f>
          </x14:formula1>
          <xm:sqref>B8:B19</xm:sqref>
        </x14:dataValidation>
        <x14:dataValidation type="list" allowBlank="1" showInputMessage="1" showErrorMessage="1">
          <x14:formula1>
            <xm:f>Customers!$D$4:$D$8</xm:f>
          </x14:formula1>
          <xm:sqref>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4" tint="-0.249977111117893"/>
    <pageSetUpPr fitToPage="1"/>
  </sheetPr>
  <dimension ref="B1:I9"/>
  <sheetViews>
    <sheetView showGridLines="0" zoomScaleNormal="100" workbookViewId="0">
      <selection activeCell="F6" sqref="F6"/>
    </sheetView>
  </sheetViews>
  <sheetFormatPr defaultRowHeight="17.25" customHeight="1" x14ac:dyDescent="0.2"/>
  <cols>
    <col min="1" max="1" width="1.7109375" style="59" customWidth="1"/>
    <col min="2" max="2" width="3" style="59" customWidth="1"/>
    <col min="3" max="3" width="15.7109375" style="59" customWidth="1"/>
    <col min="4" max="4" width="18.85546875" style="59" customWidth="1"/>
    <col min="5" max="5" width="22.5703125" style="60" customWidth="1"/>
    <col min="6" max="6" width="15.7109375" style="60" customWidth="1"/>
    <col min="7" max="7" width="22.7109375" style="60" customWidth="1"/>
    <col min="8" max="8" width="25.42578125" style="60" customWidth="1"/>
    <col min="9" max="9" width="0.140625" style="59" customWidth="1"/>
    <col min="10" max="10" width="1.7109375" style="59" customWidth="1"/>
    <col min="11" max="16384" width="9.140625" style="59"/>
  </cols>
  <sheetData>
    <row r="1" spans="2:9" ht="49.5" customHeight="1" x14ac:dyDescent="0.2">
      <c r="B1" s="56"/>
      <c r="C1" s="66" t="s">
        <v>50</v>
      </c>
      <c r="D1" s="57"/>
      <c r="E1" s="57"/>
      <c r="F1" s="57"/>
      <c r="G1" s="57"/>
      <c r="H1" s="57"/>
      <c r="I1" s="58" t="b">
        <v>1</v>
      </c>
    </row>
    <row r="2" spans="2:9" ht="12" customHeight="1" x14ac:dyDescent="0.2"/>
    <row r="3" spans="2:9" ht="20.25" customHeight="1" thickBot="1" x14ac:dyDescent="0.25">
      <c r="B3" s="61" t="s">
        <v>51</v>
      </c>
      <c r="C3" s="62" t="s">
        <v>52</v>
      </c>
      <c r="D3" s="63" t="s">
        <v>53</v>
      </c>
      <c r="E3" s="63" t="s">
        <v>7</v>
      </c>
      <c r="F3" s="63" t="s">
        <v>23</v>
      </c>
      <c r="G3" s="69" t="s">
        <v>54</v>
      </c>
      <c r="H3" s="63" t="s">
        <v>55</v>
      </c>
    </row>
    <row r="4" spans="2:9" ht="17.25" customHeight="1" thickTop="1" x14ac:dyDescent="0.2">
      <c r="B4" s="64">
        <f>(tblInventoryList[[#This Row],[Quantity in Stock]]&lt;=25)*valHighlight</f>
        <v>1</v>
      </c>
      <c r="C4" s="65" t="s">
        <v>56</v>
      </c>
      <c r="D4" s="65" t="s">
        <v>92</v>
      </c>
      <c r="E4" s="65" t="s">
        <v>57</v>
      </c>
      <c r="F4" s="67">
        <v>450</v>
      </c>
      <c r="G4" s="68">
        <v>25</v>
      </c>
      <c r="H4" s="68">
        <f>tblInventoryList[[#This Row],[Unit Price]]*tblInventoryList[[#This Row],[Quantity in Stock]]</f>
        <v>11250</v>
      </c>
    </row>
    <row r="5" spans="2:9" ht="17.25" customHeight="1" x14ac:dyDescent="0.2">
      <c r="B5" s="64">
        <f>(tblInventoryList[[#This Row],[Quantity in Stock]]&lt;=25)*valHighlight</f>
        <v>0</v>
      </c>
      <c r="C5" s="65" t="s">
        <v>58</v>
      </c>
      <c r="D5" s="65" t="s">
        <v>59</v>
      </c>
      <c r="E5" s="65" t="s">
        <v>60</v>
      </c>
      <c r="F5" s="67">
        <v>93</v>
      </c>
      <c r="G5" s="68">
        <v>132</v>
      </c>
      <c r="H5" s="68">
        <f>tblInventoryList[[#This Row],[Unit Price]]*tblInventoryList[[#This Row],[Quantity in Stock]]</f>
        <v>12276</v>
      </c>
    </row>
    <row r="6" spans="2:9" ht="17.25" customHeight="1" x14ac:dyDescent="0.2">
      <c r="B6" s="64">
        <f>(tblInventoryList[[#This Row],[Quantity in Stock]]&lt;=25)*valHighlight</f>
        <v>0</v>
      </c>
      <c r="C6" s="65" t="s">
        <v>61</v>
      </c>
      <c r="D6" s="65" t="s">
        <v>62</v>
      </c>
      <c r="E6" s="65" t="s">
        <v>63</v>
      </c>
      <c r="F6" s="67">
        <v>57</v>
      </c>
      <c r="G6" s="68">
        <v>151</v>
      </c>
      <c r="H6" s="68">
        <f>tblInventoryList[[#This Row],[Unit Price]]*tblInventoryList[[#This Row],[Quantity in Stock]]</f>
        <v>8607</v>
      </c>
    </row>
    <row r="7" spans="2:9" ht="17.25" customHeight="1" x14ac:dyDescent="0.2">
      <c r="B7" s="64">
        <f>(tblInventoryList[[#This Row],[Quantity in Stock]]&lt;=25)*valHighlight</f>
        <v>0</v>
      </c>
      <c r="C7" s="65" t="s">
        <v>64</v>
      </c>
      <c r="D7" s="65" t="s">
        <v>65</v>
      </c>
      <c r="E7" s="65" t="s">
        <v>66</v>
      </c>
      <c r="F7" s="67">
        <v>19</v>
      </c>
      <c r="G7" s="68">
        <v>186</v>
      </c>
      <c r="H7" s="68">
        <f>tblInventoryList[[#This Row],[Unit Price]]*tblInventoryList[[#This Row],[Quantity in Stock]]</f>
        <v>3534</v>
      </c>
    </row>
    <row r="8" spans="2:9" ht="17.25" customHeight="1" x14ac:dyDescent="0.2">
      <c r="B8" s="64">
        <f>(tblInventoryList[[#This Row],[Quantity in Stock]]&lt;=25)*valHighlight</f>
        <v>0</v>
      </c>
      <c r="C8" s="65" t="s">
        <v>67</v>
      </c>
      <c r="D8" s="65" t="s">
        <v>68</v>
      </c>
      <c r="E8" s="65" t="s">
        <v>69</v>
      </c>
      <c r="F8" s="67">
        <v>75</v>
      </c>
      <c r="G8" s="68">
        <v>62</v>
      </c>
      <c r="H8" s="68">
        <f>tblInventoryList[[#This Row],[Unit Price]]*tblInventoryList[[#This Row],[Quantity in Stock]]</f>
        <v>4650</v>
      </c>
    </row>
    <row r="9" spans="2:9" ht="17.25" customHeight="1" x14ac:dyDescent="0.2">
      <c r="B9" s="64">
        <f>(tblInventoryList[[#This Row],[Quantity in Stock]]&lt;=25)*valHighlight</f>
        <v>1</v>
      </c>
      <c r="C9" s="65" t="s">
        <v>70</v>
      </c>
      <c r="D9" s="65" t="s">
        <v>71</v>
      </c>
      <c r="E9" s="65" t="s">
        <v>72</v>
      </c>
      <c r="F9" s="67">
        <v>11</v>
      </c>
      <c r="G9" s="68">
        <v>5</v>
      </c>
      <c r="H9" s="68">
        <f>tblInventoryList[[#This Row],[Unit Price]]*tblInventoryList[[#This Row],[Quantity in Stock]]</f>
        <v>55</v>
      </c>
    </row>
  </sheetData>
  <conditionalFormatting sqref="C4:H9">
    <cfRule type="expression" dxfId="80" priority="1">
      <formula>$B4=1</formula>
    </cfRule>
  </conditionalFormatting>
  <conditionalFormatting sqref="C4:H9">
    <cfRule type="expression" dxfId="79" priority="21">
      <formula>#REF!="yes"</formula>
    </cfRule>
  </conditionalFormatting>
  <printOptions horizontalCentered="1"/>
  <pageMargins left="0.25" right="0.25" top="0.75" bottom="0.75" header="0.05" footer="0.3"/>
  <pageSetup scale="65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heck box">
              <controlPr defaultSize="0" autoFill="0" autoLine="0" autoPict="0" altText="Click to highlight inventory items in which Quantity in Stock is less than or equal to the reorder level and not discontinued.">
                <anchor moveWithCells="1">
                  <from>
                    <xdr:col>7</xdr:col>
                    <xdr:colOff>57150</xdr:colOff>
                    <xdr:row>0</xdr:row>
                    <xdr:rowOff>219075</xdr:rowOff>
                  </from>
                  <to>
                    <xdr:col>11</xdr:col>
                    <xdr:colOff>180975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3" id="{7BBB55BC-B2DE-4301-AC87-3BDDF76C841F}">
            <x14:iconSet iconSet="3Flag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Flags" iconId="0"/>
            </x14:iconSet>
          </x14:cfRule>
          <xm:sqref>B4:B9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/>
    <pageSetUpPr autoPageBreaks="0" fitToPage="1"/>
  </sheetPr>
  <dimension ref="B1:L9"/>
  <sheetViews>
    <sheetView showGridLines="0" topLeftCell="C1" zoomScaleNormal="100" workbookViewId="0">
      <selection activeCell="G13" sqref="G13"/>
    </sheetView>
  </sheetViews>
  <sheetFormatPr defaultColWidth="9.28515625" defaultRowHeight="18.75" customHeight="1" x14ac:dyDescent="0.2"/>
  <cols>
    <col min="1" max="1" width="2.140625" style="1" customWidth="1"/>
    <col min="2" max="2" width="19.28515625" style="1" hidden="1" customWidth="1"/>
    <col min="3" max="3" width="18.85546875" style="1" customWidth="1"/>
    <col min="4" max="4" width="24.85546875" style="1" customWidth="1"/>
    <col min="5" max="5" width="22.28515625" style="1" customWidth="1"/>
    <col min="6" max="6" width="26.7109375" style="1" customWidth="1"/>
    <col min="7" max="7" width="17.28515625" style="1" customWidth="1"/>
    <col min="8" max="8" width="12" style="1" customWidth="1"/>
    <col min="9" max="9" width="13.28515625" style="3" customWidth="1"/>
    <col min="10" max="10" width="14.85546875" style="1" customWidth="1"/>
    <col min="11" max="11" width="22.7109375" style="1" customWidth="1"/>
    <col min="12" max="12" width="15.28515625" style="4" customWidth="1"/>
    <col min="13" max="16384" width="9.28515625" style="1"/>
  </cols>
  <sheetData>
    <row r="1" spans="2:12" ht="31.5" customHeight="1" x14ac:dyDescent="0.2"/>
    <row r="2" spans="2:12" ht="28.5" customHeight="1" x14ac:dyDescent="0.2">
      <c r="C2" s="6" t="s">
        <v>28</v>
      </c>
    </row>
    <row r="3" spans="2:12" s="7" customFormat="1" ht="21.75" customHeight="1" x14ac:dyDescent="0.2">
      <c r="B3" s="16" t="s">
        <v>9</v>
      </c>
      <c r="C3" s="16" t="s">
        <v>32</v>
      </c>
      <c r="D3" s="16" t="s">
        <v>2</v>
      </c>
      <c r="E3" s="16" t="s">
        <v>3</v>
      </c>
      <c r="F3" s="16" t="s">
        <v>4</v>
      </c>
      <c r="G3" s="16" t="s">
        <v>5</v>
      </c>
      <c r="H3" s="16" t="s">
        <v>6</v>
      </c>
      <c r="I3" s="16" t="s">
        <v>73</v>
      </c>
      <c r="J3" s="15" t="s">
        <v>0</v>
      </c>
      <c r="K3" s="15" t="s">
        <v>27</v>
      </c>
      <c r="L3" s="15" t="s">
        <v>10</v>
      </c>
    </row>
    <row r="4" spans="2:12" ht="18.75" customHeight="1" x14ac:dyDescent="0.2">
      <c r="B4" s="17" t="str">
        <f t="shared" ref="B4:B5" si="0">C4&amp; " - "&amp;D4</f>
        <v>1 - New Japan Autos</v>
      </c>
      <c r="C4" s="23">
        <v>1</v>
      </c>
      <c r="D4" s="17" t="s">
        <v>84</v>
      </c>
      <c r="E4" s="17" t="s">
        <v>85</v>
      </c>
      <c r="F4" s="17" t="s">
        <v>86</v>
      </c>
      <c r="G4" s="17" t="s">
        <v>86</v>
      </c>
      <c r="H4" s="17" t="s">
        <v>87</v>
      </c>
      <c r="I4" s="17" t="s">
        <v>45</v>
      </c>
      <c r="J4" s="22" t="s">
        <v>47</v>
      </c>
      <c r="K4" s="21" t="s">
        <v>18</v>
      </c>
      <c r="L4" s="22" t="s">
        <v>49</v>
      </c>
    </row>
    <row r="5" spans="2:12" ht="18.75" customHeight="1" x14ac:dyDescent="0.2">
      <c r="B5" s="17" t="str">
        <f t="shared" si="0"/>
        <v>2 - Punjab Auots</v>
      </c>
      <c r="C5" s="23">
        <v>2</v>
      </c>
      <c r="D5" s="17" t="s">
        <v>88</v>
      </c>
      <c r="E5" s="17" t="s">
        <v>44</v>
      </c>
      <c r="F5" s="17" t="s">
        <v>89</v>
      </c>
      <c r="G5" s="17" t="s">
        <v>102</v>
      </c>
      <c r="H5" s="17" t="s">
        <v>87</v>
      </c>
      <c r="I5" s="17" t="s">
        <v>46</v>
      </c>
      <c r="J5" s="22" t="s">
        <v>48</v>
      </c>
      <c r="K5" s="21" t="s">
        <v>18</v>
      </c>
      <c r="L5" s="22" t="s">
        <v>40</v>
      </c>
    </row>
    <row r="6" spans="2:12" ht="18.75" customHeight="1" x14ac:dyDescent="0.2">
      <c r="B6" s="1" t="str">
        <f>C6&amp; " - "&amp;D6</f>
        <v>3 - Nayar Electornics</v>
      </c>
      <c r="C6" s="88">
        <v>3</v>
      </c>
      <c r="D6" s="1" t="s">
        <v>95</v>
      </c>
      <c r="E6" s="1" t="s">
        <v>96</v>
      </c>
      <c r="F6" s="1" t="s">
        <v>97</v>
      </c>
      <c r="G6" s="1" t="s">
        <v>98</v>
      </c>
      <c r="H6" s="1" t="s">
        <v>99</v>
      </c>
      <c r="I6" s="89" t="s">
        <v>100</v>
      </c>
      <c r="J6" s="90">
        <v>564564</v>
      </c>
      <c r="K6" s="199" t="s">
        <v>101</v>
      </c>
      <c r="L6" s="91">
        <v>54564</v>
      </c>
    </row>
    <row r="7" spans="2:12" ht="18.75" customHeight="1" x14ac:dyDescent="0.2">
      <c r="B7" s="1" t="str">
        <f>C7&amp; " - "&amp;D7</f>
        <v xml:space="preserve"> - </v>
      </c>
      <c r="C7" s="88"/>
      <c r="I7" s="89"/>
      <c r="J7" s="90"/>
      <c r="L7" s="91"/>
    </row>
    <row r="8" spans="2:12" ht="18.75" customHeight="1" x14ac:dyDescent="0.2">
      <c r="B8" s="1" t="str">
        <f>C8&amp; " - "&amp;D8</f>
        <v xml:space="preserve"> - </v>
      </c>
      <c r="C8" s="88"/>
      <c r="I8" s="89"/>
      <c r="J8" s="90"/>
      <c r="L8" s="91"/>
    </row>
    <row r="9" spans="2:12" ht="18.75" customHeight="1" x14ac:dyDescent="0.2">
      <c r="B9" s="18" t="s">
        <v>35</v>
      </c>
      <c r="C9" s="16" t="str">
        <f>"Total Customers: "&amp;SUBTOTAL(103,CustomerList[Company '#])</f>
        <v>Total Customers: 3</v>
      </c>
      <c r="D9" s="18"/>
      <c r="E9" s="18"/>
      <c r="F9" s="18"/>
      <c r="G9" s="18"/>
      <c r="H9" s="18"/>
      <c r="I9" s="18"/>
      <c r="J9" s="19"/>
      <c r="K9" s="18"/>
      <c r="L9" s="19"/>
    </row>
  </sheetData>
  <sheetProtection formatCells="0" formatColumns="0" formatRows="0" insertColumns="0" insertRows="0" insertHyperlinks="0" deleteColumns="0" deleteRows="0" selectLockedCells="1" sort="0" autoFilter="0" pivotTables="0"/>
  <conditionalFormatting sqref="C4:C8">
    <cfRule type="duplicateValues" dxfId="71" priority="11"/>
  </conditionalFormatting>
  <conditionalFormatting sqref="D4:D8">
    <cfRule type="duplicateValues" dxfId="70" priority="12"/>
  </conditionalFormatting>
  <hyperlinks>
    <hyperlink ref="K4" r:id="rId1"/>
    <hyperlink ref="K5" r:id="rId2"/>
    <hyperlink ref="K6" r:id="rId3"/>
  </hyperlinks>
  <printOptions horizontalCentered="1"/>
  <pageMargins left="0.25" right="0.25" top="0.75" bottom="0.75" header="0.3" footer="0.3"/>
  <pageSetup scale="77" fitToHeight="0" orientation="landscape" r:id="rId4"/>
  <ignoredErrors>
    <ignoredError sqref="I4:I5" numberStoredAsText="1"/>
  </ignoredErrors>
  <drawing r:id="rId5"/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 tint="0.39997558519241921"/>
    <pageSetUpPr autoPageBreaks="0" fitToPage="1"/>
  </sheetPr>
  <dimension ref="B1:M61"/>
  <sheetViews>
    <sheetView showGridLines="0" zoomScaleNormal="100" workbookViewId="0">
      <selection activeCell="J7" sqref="J7"/>
    </sheetView>
  </sheetViews>
  <sheetFormatPr defaultColWidth="9.28515625" defaultRowHeight="18.75" customHeight="1" x14ac:dyDescent="0.2"/>
  <cols>
    <col min="1" max="1" width="2.28515625" style="1" customWidth="1"/>
    <col min="2" max="2" width="15" style="1" customWidth="1"/>
    <col min="3" max="3" width="20.85546875" style="1" customWidth="1"/>
    <col min="4" max="4" width="15.28515625" style="1" customWidth="1"/>
    <col min="5" max="5" width="14.85546875" style="5" customWidth="1"/>
    <col min="6" max="6" width="13" style="5" customWidth="1"/>
    <col min="7" max="7" width="13.7109375" style="5" customWidth="1"/>
    <col min="8" max="8" width="16.5703125" style="5" customWidth="1"/>
    <col min="9" max="9" width="17.28515625" style="1" customWidth="1"/>
    <col min="10" max="10" width="15.5703125" style="1" customWidth="1"/>
    <col min="11" max="11" width="37.28515625" style="1" customWidth="1"/>
    <col min="12" max="16384" width="9.28515625" style="1"/>
  </cols>
  <sheetData>
    <row r="1" spans="2:13" ht="31.5" customHeight="1" x14ac:dyDescent="0.2"/>
    <row r="2" spans="2:13" ht="28.5" customHeight="1" x14ac:dyDescent="0.2">
      <c r="B2" s="6" t="s">
        <v>29</v>
      </c>
      <c r="J2" s="140" t="s">
        <v>83</v>
      </c>
    </row>
    <row r="3" spans="2:13" ht="21.75" customHeight="1" x14ac:dyDescent="0.2">
      <c r="B3" s="103" t="s">
        <v>33</v>
      </c>
      <c r="C3" s="103" t="s">
        <v>38</v>
      </c>
      <c r="D3" s="103" t="s">
        <v>19</v>
      </c>
      <c r="E3" s="104" t="s">
        <v>36</v>
      </c>
      <c r="F3" s="104" t="s">
        <v>22</v>
      </c>
      <c r="G3" s="104" t="s">
        <v>17</v>
      </c>
      <c r="H3" s="104" t="s">
        <v>34</v>
      </c>
      <c r="I3" s="104" t="s">
        <v>41</v>
      </c>
      <c r="J3" s="104" t="s">
        <v>77</v>
      </c>
      <c r="K3" s="103" t="s">
        <v>8</v>
      </c>
      <c r="L3" s="158" t="s">
        <v>94</v>
      </c>
      <c r="M3" s="158" t="s">
        <v>79</v>
      </c>
    </row>
    <row r="4" spans="2:13" ht="18.75" customHeight="1" x14ac:dyDescent="0.2">
      <c r="B4" s="136" t="s">
        <v>90</v>
      </c>
      <c r="C4" s="141" t="s">
        <v>84</v>
      </c>
      <c r="D4" s="142">
        <v>42096</v>
      </c>
      <c r="E4" s="143">
        <v>53760</v>
      </c>
      <c r="F4" s="144">
        <v>2</v>
      </c>
      <c r="G4" s="143">
        <v>0</v>
      </c>
      <c r="H4" s="101">
        <f>InvoicesMain[[#This Row],[Detail Total]]+InvoicesMain[[#This Row],[Other]]</f>
        <v>53760</v>
      </c>
      <c r="I4" s="143">
        <v>0</v>
      </c>
      <c r="J4" s="101">
        <f>InvoicesMain[[#This Row],[Invoice Total]]-InvoicesMain[[#This Row],[Deposit]]</f>
        <v>53760</v>
      </c>
      <c r="K4" s="135"/>
      <c r="L4" s="158"/>
      <c r="M4" s="158"/>
    </row>
    <row r="5" spans="2:13" ht="18.75" customHeight="1" x14ac:dyDescent="0.2">
      <c r="B5" s="136" t="s">
        <v>91</v>
      </c>
      <c r="C5" s="141" t="s">
        <v>88</v>
      </c>
      <c r="D5" s="142">
        <v>42097</v>
      </c>
      <c r="E5" s="145">
        <v>5184</v>
      </c>
      <c r="F5" s="146">
        <v>0</v>
      </c>
      <c r="G5" s="145">
        <v>800</v>
      </c>
      <c r="H5" s="101">
        <f>InvoicesMain[[#This Row],[Detail Total]]+InvoicesMain[[#This Row],[Other]]</f>
        <v>5984</v>
      </c>
      <c r="I5" s="145">
        <v>1000</v>
      </c>
      <c r="J5" s="101">
        <f>InvoicesMain[[#This Row],[Invoice Total]]-InvoicesMain[[#This Row],[Deposit]]</f>
        <v>4984</v>
      </c>
      <c r="K5" s="135" t="s">
        <v>93</v>
      </c>
      <c r="L5" s="158"/>
      <c r="M5" s="158"/>
    </row>
    <row r="6" spans="2:13" ht="18.75" customHeight="1" x14ac:dyDescent="0.2">
      <c r="B6" s="137">
        <v>909</v>
      </c>
      <c r="C6" s="147" t="s">
        <v>84</v>
      </c>
      <c r="D6" s="148">
        <v>42441</v>
      </c>
      <c r="E6" s="149">
        <v>807</v>
      </c>
      <c r="F6" s="150">
        <v>0</v>
      </c>
      <c r="G6" s="151">
        <v>0</v>
      </c>
      <c r="H6" s="101">
        <f>InvoicesMain[[#This Row],[Detail Total]]+InvoicesMain[[#This Row],[Other]]</f>
        <v>807</v>
      </c>
      <c r="I6" s="151">
        <v>0</v>
      </c>
      <c r="J6" s="101">
        <f>InvoicesMain[[#This Row],[Invoice Total]]-InvoicesMain[[#This Row],[Deposit]]</f>
        <v>807</v>
      </c>
      <c r="K6" s="138"/>
      <c r="L6" s="158"/>
      <c r="M6" s="158"/>
    </row>
    <row r="7" spans="2:13" ht="18.75" customHeight="1" x14ac:dyDescent="0.2">
      <c r="B7" s="138">
        <v>500</v>
      </c>
      <c r="C7" s="147" t="s">
        <v>95</v>
      </c>
      <c r="D7" s="148">
        <v>43393</v>
      </c>
      <c r="E7" s="152">
        <v>10542</v>
      </c>
      <c r="F7" s="153">
        <v>5</v>
      </c>
      <c r="G7" s="154">
        <v>0</v>
      </c>
      <c r="H7" s="101">
        <f>InvoicesMain[[#This Row],[Detail Total]]+InvoicesMain[[#This Row],[Other]]</f>
        <v>10542</v>
      </c>
      <c r="I7" s="154">
        <v>6000</v>
      </c>
      <c r="J7" s="101">
        <f>InvoicesMain[[#This Row],[Invoice Total]]-InvoicesMain[[#This Row],[Deposit]]</f>
        <v>4542</v>
      </c>
      <c r="K7" s="138"/>
      <c r="L7" s="158"/>
      <c r="M7" s="158"/>
    </row>
    <row r="8" spans="2:13" ht="18.75" customHeight="1" x14ac:dyDescent="0.2">
      <c r="B8" s="139"/>
      <c r="C8" s="155"/>
      <c r="D8" s="156"/>
      <c r="E8" s="152"/>
      <c r="F8" s="153"/>
      <c r="G8" s="154"/>
      <c r="H8" s="100">
        <f>InvoicesMain[[#This Row],[Detail Total]]+InvoicesMain[[#This Row],[Other]]</f>
        <v>0</v>
      </c>
      <c r="I8" s="154"/>
      <c r="J8" s="100">
        <f>InvoicesMain[[#This Row],[Invoice Total]]-InvoicesMain[[#This Row],[Deposit]]</f>
        <v>0</v>
      </c>
      <c r="K8" s="138"/>
      <c r="L8" s="158"/>
      <c r="M8" s="158"/>
    </row>
    <row r="9" spans="2:13" ht="18.75" customHeight="1" x14ac:dyDescent="0.2">
      <c r="B9" s="138"/>
      <c r="C9" s="147"/>
      <c r="D9" s="148"/>
      <c r="E9" s="152"/>
      <c r="F9" s="153"/>
      <c r="G9" s="154"/>
      <c r="H9" s="100">
        <f>InvoicesMain[[#This Row],[Detail Total]]+InvoicesMain[[#This Row],[Other]]</f>
        <v>0</v>
      </c>
      <c r="I9" s="154"/>
      <c r="J9" s="100">
        <f>InvoicesMain[[#This Row],[Invoice Total]]-InvoicesMain[[#This Row],[Deposit]]</f>
        <v>0</v>
      </c>
      <c r="K9" s="138"/>
      <c r="L9" s="158"/>
      <c r="M9" s="158"/>
    </row>
    <row r="10" spans="2:13" ht="18.75" customHeight="1" x14ac:dyDescent="0.2">
      <c r="B10" s="138"/>
      <c r="C10" s="147"/>
      <c r="D10" s="148"/>
      <c r="E10" s="152"/>
      <c r="F10" s="153"/>
      <c r="G10" s="154"/>
      <c r="H10" s="100">
        <f>InvoicesMain[[#This Row],[Detail Total]]+InvoicesMain[[#This Row],[Other]]</f>
        <v>0</v>
      </c>
      <c r="I10" s="154"/>
      <c r="J10" s="100">
        <f>InvoicesMain[[#This Row],[Invoice Total]]-InvoicesMain[[#This Row],[Deposit]]</f>
        <v>0</v>
      </c>
      <c r="K10" s="138"/>
      <c r="L10" s="158"/>
      <c r="M10" s="158"/>
    </row>
    <row r="11" spans="2:13" ht="18.75" customHeight="1" x14ac:dyDescent="0.2">
      <c r="B11" s="138"/>
      <c r="C11" s="147"/>
      <c r="D11" s="148"/>
      <c r="E11" s="152"/>
      <c r="F11" s="153"/>
      <c r="G11" s="154"/>
      <c r="H11" s="100">
        <f>InvoicesMain[[#This Row],[Detail Total]]+InvoicesMain[[#This Row],[Other]]</f>
        <v>0</v>
      </c>
      <c r="I11" s="154"/>
      <c r="J11" s="100">
        <f>InvoicesMain[[#This Row],[Invoice Total]]-InvoicesMain[[#This Row],[Deposit]]</f>
        <v>0</v>
      </c>
      <c r="K11" s="138"/>
      <c r="L11" s="158"/>
      <c r="M11" s="158"/>
    </row>
    <row r="12" spans="2:13" ht="18.75" customHeight="1" x14ac:dyDescent="0.2">
      <c r="B12" s="138"/>
      <c r="C12" s="147"/>
      <c r="D12" s="148"/>
      <c r="E12" s="152"/>
      <c r="F12" s="153"/>
      <c r="G12" s="154"/>
      <c r="H12" s="100">
        <f>InvoicesMain[[#This Row],[Detail Total]]+InvoicesMain[[#This Row],[Other]]</f>
        <v>0</v>
      </c>
      <c r="I12" s="154"/>
      <c r="J12" s="100">
        <f>InvoicesMain[[#This Row],[Invoice Total]]-InvoicesMain[[#This Row],[Deposit]]</f>
        <v>0</v>
      </c>
      <c r="K12" s="138"/>
      <c r="L12" s="158"/>
      <c r="M12" s="158"/>
    </row>
    <row r="13" spans="2:13" ht="18.75" customHeight="1" x14ac:dyDescent="0.2">
      <c r="B13" s="138"/>
      <c r="C13" s="147"/>
      <c r="D13" s="148"/>
      <c r="E13" s="152"/>
      <c r="F13" s="153"/>
      <c r="G13" s="154"/>
      <c r="H13" s="100">
        <f>InvoicesMain[[#This Row],[Detail Total]]+InvoicesMain[[#This Row],[Other]]</f>
        <v>0</v>
      </c>
      <c r="I13" s="154"/>
      <c r="J13" s="100">
        <f>InvoicesMain[[#This Row],[Invoice Total]]-InvoicesMain[[#This Row],[Deposit]]</f>
        <v>0</v>
      </c>
      <c r="K13" s="138"/>
      <c r="L13" s="158"/>
      <c r="M13" s="158"/>
    </row>
    <row r="14" spans="2:13" ht="18.75" customHeight="1" x14ac:dyDescent="0.2">
      <c r="B14" s="138"/>
      <c r="C14" s="147"/>
      <c r="D14" s="148"/>
      <c r="E14" s="152"/>
      <c r="F14" s="153"/>
      <c r="G14" s="154"/>
      <c r="H14" s="100">
        <f>InvoicesMain[[#This Row],[Detail Total]]+InvoicesMain[[#This Row],[Other]]</f>
        <v>0</v>
      </c>
      <c r="I14" s="154"/>
      <c r="J14" s="100">
        <f>InvoicesMain[[#This Row],[Invoice Total]]-InvoicesMain[[#This Row],[Deposit]]</f>
        <v>0</v>
      </c>
      <c r="K14" s="138"/>
      <c r="L14" s="158"/>
      <c r="M14" s="158"/>
    </row>
    <row r="15" spans="2:13" ht="18.75" customHeight="1" x14ac:dyDescent="0.2">
      <c r="B15" s="138"/>
      <c r="C15" s="147"/>
      <c r="D15" s="148"/>
      <c r="E15" s="152"/>
      <c r="F15" s="153"/>
      <c r="G15" s="154"/>
      <c r="H15" s="100">
        <f>InvoicesMain[[#This Row],[Detail Total]]+InvoicesMain[[#This Row],[Other]]</f>
        <v>0</v>
      </c>
      <c r="I15" s="154"/>
      <c r="J15" s="100">
        <f>InvoicesMain[[#This Row],[Invoice Total]]-InvoicesMain[[#This Row],[Deposit]]</f>
        <v>0</v>
      </c>
      <c r="K15" s="138"/>
      <c r="L15" s="158"/>
      <c r="M15" s="158"/>
    </row>
    <row r="16" spans="2:13" ht="18.75" customHeight="1" x14ac:dyDescent="0.2">
      <c r="B16" s="138"/>
      <c r="C16" s="147"/>
      <c r="D16" s="148"/>
      <c r="E16" s="152"/>
      <c r="F16" s="153"/>
      <c r="G16" s="154"/>
      <c r="H16" s="100">
        <f>InvoicesMain[[#This Row],[Detail Total]]+InvoicesMain[[#This Row],[Other]]</f>
        <v>0</v>
      </c>
      <c r="I16" s="154"/>
      <c r="J16" s="100">
        <f>InvoicesMain[[#This Row],[Invoice Total]]-InvoicesMain[[#This Row],[Deposit]]</f>
        <v>0</v>
      </c>
      <c r="K16" s="138"/>
      <c r="L16" s="158"/>
      <c r="M16" s="158"/>
    </row>
    <row r="17" spans="2:13" ht="18.75" customHeight="1" x14ac:dyDescent="0.2">
      <c r="B17" s="138"/>
      <c r="C17" s="147"/>
      <c r="D17" s="148"/>
      <c r="E17" s="152"/>
      <c r="F17" s="153"/>
      <c r="G17" s="154"/>
      <c r="H17" s="100">
        <f>InvoicesMain[[#This Row],[Detail Total]]+InvoicesMain[[#This Row],[Other]]</f>
        <v>0</v>
      </c>
      <c r="I17" s="154"/>
      <c r="J17" s="100">
        <f>InvoicesMain[[#This Row],[Invoice Total]]-InvoicesMain[[#This Row],[Deposit]]</f>
        <v>0</v>
      </c>
      <c r="K17" s="138"/>
      <c r="L17" s="158"/>
      <c r="M17" s="158"/>
    </row>
    <row r="18" spans="2:13" ht="18.75" customHeight="1" x14ac:dyDescent="0.2">
      <c r="B18" s="138"/>
      <c r="C18" s="147"/>
      <c r="D18" s="148"/>
      <c r="E18" s="152"/>
      <c r="F18" s="153"/>
      <c r="G18" s="154"/>
      <c r="H18" s="100">
        <f>InvoicesMain[[#This Row],[Detail Total]]+InvoicesMain[[#This Row],[Other]]</f>
        <v>0</v>
      </c>
      <c r="I18" s="154"/>
      <c r="J18" s="100">
        <f>InvoicesMain[[#This Row],[Invoice Total]]-InvoicesMain[[#This Row],[Deposit]]</f>
        <v>0</v>
      </c>
      <c r="K18" s="138"/>
      <c r="L18" s="158"/>
      <c r="M18" s="158"/>
    </row>
    <row r="19" spans="2:13" ht="18.75" customHeight="1" x14ac:dyDescent="0.2">
      <c r="B19" s="138"/>
      <c r="C19" s="147"/>
      <c r="D19" s="148"/>
      <c r="E19" s="152"/>
      <c r="F19" s="153"/>
      <c r="G19" s="154"/>
      <c r="H19" s="100">
        <f>InvoicesMain[[#This Row],[Detail Total]]+InvoicesMain[[#This Row],[Other]]</f>
        <v>0</v>
      </c>
      <c r="I19" s="154"/>
      <c r="J19" s="100">
        <f>InvoicesMain[[#This Row],[Invoice Total]]-InvoicesMain[[#This Row],[Deposit]]</f>
        <v>0</v>
      </c>
      <c r="K19" s="138"/>
      <c r="L19" s="158"/>
      <c r="M19" s="158"/>
    </row>
    <row r="20" spans="2:13" ht="18.75" customHeight="1" x14ac:dyDescent="0.2">
      <c r="B20" s="138"/>
      <c r="C20" s="147"/>
      <c r="D20" s="148"/>
      <c r="E20" s="152"/>
      <c r="F20" s="153"/>
      <c r="G20" s="154"/>
      <c r="H20" s="100">
        <f>InvoicesMain[[#This Row],[Detail Total]]+InvoicesMain[[#This Row],[Other]]</f>
        <v>0</v>
      </c>
      <c r="I20" s="154"/>
      <c r="J20" s="100">
        <f>InvoicesMain[[#This Row],[Invoice Total]]-InvoicesMain[[#This Row],[Deposit]]</f>
        <v>0</v>
      </c>
      <c r="K20" s="138"/>
      <c r="L20" s="158"/>
      <c r="M20" s="158"/>
    </row>
    <row r="21" spans="2:13" ht="18.75" customHeight="1" x14ac:dyDescent="0.2">
      <c r="B21" s="138"/>
      <c r="C21" s="147"/>
      <c r="D21" s="148"/>
      <c r="E21" s="152"/>
      <c r="F21" s="153"/>
      <c r="G21" s="154"/>
      <c r="H21" s="100">
        <f>InvoicesMain[[#This Row],[Detail Total]]+InvoicesMain[[#This Row],[Other]]</f>
        <v>0</v>
      </c>
      <c r="I21" s="154"/>
      <c r="J21" s="100">
        <f>InvoicesMain[[#This Row],[Invoice Total]]-InvoicesMain[[#This Row],[Deposit]]</f>
        <v>0</v>
      </c>
      <c r="K21" s="138"/>
      <c r="L21" s="158"/>
      <c r="M21" s="158"/>
    </row>
    <row r="22" spans="2:13" ht="18.75" customHeight="1" x14ac:dyDescent="0.2">
      <c r="B22" s="138"/>
      <c r="C22" s="147"/>
      <c r="D22" s="148"/>
      <c r="E22" s="152"/>
      <c r="F22" s="153"/>
      <c r="G22" s="154"/>
      <c r="H22" s="100">
        <f>InvoicesMain[[#This Row],[Detail Total]]+InvoicesMain[[#This Row],[Other]]</f>
        <v>0</v>
      </c>
      <c r="I22" s="154"/>
      <c r="J22" s="100">
        <f>InvoicesMain[[#This Row],[Invoice Total]]-InvoicesMain[[#This Row],[Deposit]]</f>
        <v>0</v>
      </c>
      <c r="K22" s="138"/>
      <c r="L22" s="158"/>
      <c r="M22" s="158"/>
    </row>
    <row r="23" spans="2:13" ht="18.75" customHeight="1" x14ac:dyDescent="0.2">
      <c r="B23" s="138"/>
      <c r="C23" s="147"/>
      <c r="D23" s="148"/>
      <c r="E23" s="152"/>
      <c r="F23" s="153"/>
      <c r="G23" s="154"/>
      <c r="H23" s="100">
        <f>InvoicesMain[[#This Row],[Detail Total]]+InvoicesMain[[#This Row],[Other]]</f>
        <v>0</v>
      </c>
      <c r="I23" s="154"/>
      <c r="J23" s="100">
        <f>InvoicesMain[[#This Row],[Invoice Total]]-InvoicesMain[[#This Row],[Deposit]]</f>
        <v>0</v>
      </c>
      <c r="K23" s="138"/>
      <c r="L23" s="158"/>
      <c r="M23" s="158"/>
    </row>
    <row r="24" spans="2:13" ht="18.75" customHeight="1" x14ac:dyDescent="0.2">
      <c r="B24" s="138"/>
      <c r="C24" s="147"/>
      <c r="D24" s="148"/>
      <c r="E24" s="152"/>
      <c r="F24" s="153"/>
      <c r="G24" s="154"/>
      <c r="H24" s="100">
        <f>InvoicesMain[[#This Row],[Detail Total]]+InvoicesMain[[#This Row],[Other]]</f>
        <v>0</v>
      </c>
      <c r="I24" s="154"/>
      <c r="J24" s="100">
        <f>InvoicesMain[[#This Row],[Invoice Total]]-InvoicesMain[[#This Row],[Deposit]]</f>
        <v>0</v>
      </c>
      <c r="K24" s="138"/>
      <c r="L24" s="158"/>
      <c r="M24" s="158"/>
    </row>
    <row r="25" spans="2:13" ht="18.75" customHeight="1" x14ac:dyDescent="0.2">
      <c r="B25" s="138"/>
      <c r="C25" s="147"/>
      <c r="D25" s="148"/>
      <c r="E25" s="152"/>
      <c r="F25" s="153"/>
      <c r="G25" s="154"/>
      <c r="H25" s="100">
        <f>InvoicesMain[[#This Row],[Detail Total]]+InvoicesMain[[#This Row],[Other]]</f>
        <v>0</v>
      </c>
      <c r="I25" s="154"/>
      <c r="J25" s="100">
        <f>InvoicesMain[[#This Row],[Invoice Total]]-InvoicesMain[[#This Row],[Deposit]]</f>
        <v>0</v>
      </c>
      <c r="K25" s="138"/>
      <c r="L25" s="158"/>
      <c r="M25" s="158"/>
    </row>
    <row r="26" spans="2:13" ht="18.75" customHeight="1" x14ac:dyDescent="0.2">
      <c r="B26" s="138"/>
      <c r="C26" s="147"/>
      <c r="D26" s="148"/>
      <c r="E26" s="152"/>
      <c r="F26" s="153"/>
      <c r="G26" s="154"/>
      <c r="H26" s="100">
        <f>InvoicesMain[[#This Row],[Detail Total]]+InvoicesMain[[#This Row],[Other]]</f>
        <v>0</v>
      </c>
      <c r="I26" s="154"/>
      <c r="J26" s="100">
        <f>InvoicesMain[[#This Row],[Invoice Total]]-InvoicesMain[[#This Row],[Deposit]]</f>
        <v>0</v>
      </c>
      <c r="K26" s="138"/>
      <c r="L26" s="158"/>
      <c r="M26" s="158"/>
    </row>
    <row r="27" spans="2:13" ht="18.75" customHeight="1" x14ac:dyDescent="0.2">
      <c r="B27" s="138"/>
      <c r="C27" s="147"/>
      <c r="D27" s="148"/>
      <c r="E27" s="152"/>
      <c r="F27" s="153"/>
      <c r="G27" s="154"/>
      <c r="H27" s="100">
        <f>InvoicesMain[[#This Row],[Detail Total]]+InvoicesMain[[#This Row],[Other]]</f>
        <v>0</v>
      </c>
      <c r="I27" s="154"/>
      <c r="J27" s="100">
        <f>InvoicesMain[[#This Row],[Invoice Total]]-InvoicesMain[[#This Row],[Deposit]]</f>
        <v>0</v>
      </c>
      <c r="K27" s="138"/>
      <c r="L27" s="158"/>
      <c r="M27" s="158"/>
    </row>
    <row r="28" spans="2:13" ht="18.75" customHeight="1" x14ac:dyDescent="0.2">
      <c r="B28" s="138"/>
      <c r="C28" s="147"/>
      <c r="D28" s="148"/>
      <c r="E28" s="152"/>
      <c r="F28" s="153"/>
      <c r="G28" s="154"/>
      <c r="H28" s="100">
        <f>InvoicesMain[[#This Row],[Detail Total]]+InvoicesMain[[#This Row],[Other]]</f>
        <v>0</v>
      </c>
      <c r="I28" s="154"/>
      <c r="J28" s="100">
        <f>InvoicesMain[[#This Row],[Invoice Total]]-InvoicesMain[[#This Row],[Deposit]]</f>
        <v>0</v>
      </c>
      <c r="K28" s="138"/>
      <c r="L28" s="158"/>
      <c r="M28" s="158"/>
    </row>
    <row r="29" spans="2:13" ht="18.75" customHeight="1" x14ac:dyDescent="0.2">
      <c r="B29" s="138"/>
      <c r="C29" s="147"/>
      <c r="D29" s="148"/>
      <c r="E29" s="152"/>
      <c r="F29" s="153"/>
      <c r="G29" s="154"/>
      <c r="H29" s="100">
        <f>InvoicesMain[[#This Row],[Detail Total]]+InvoicesMain[[#This Row],[Other]]</f>
        <v>0</v>
      </c>
      <c r="I29" s="154"/>
      <c r="J29" s="100">
        <f>InvoicesMain[[#This Row],[Invoice Total]]-InvoicesMain[[#This Row],[Deposit]]</f>
        <v>0</v>
      </c>
      <c r="K29" s="138"/>
      <c r="L29" s="158"/>
      <c r="M29" s="158"/>
    </row>
    <row r="30" spans="2:13" ht="18.75" customHeight="1" x14ac:dyDescent="0.2">
      <c r="B30" s="138"/>
      <c r="C30" s="147"/>
      <c r="D30" s="148"/>
      <c r="E30" s="152"/>
      <c r="F30" s="153"/>
      <c r="G30" s="154"/>
      <c r="H30" s="100">
        <f>InvoicesMain[[#This Row],[Detail Total]]+InvoicesMain[[#This Row],[Other]]</f>
        <v>0</v>
      </c>
      <c r="I30" s="154"/>
      <c r="J30" s="100">
        <f>InvoicesMain[[#This Row],[Invoice Total]]-InvoicesMain[[#This Row],[Deposit]]</f>
        <v>0</v>
      </c>
      <c r="K30" s="138"/>
      <c r="L30" s="158"/>
      <c r="M30" s="158"/>
    </row>
    <row r="31" spans="2:13" ht="18.75" customHeight="1" x14ac:dyDescent="0.2">
      <c r="B31" s="138"/>
      <c r="C31" s="147"/>
      <c r="D31" s="148"/>
      <c r="E31" s="152"/>
      <c r="F31" s="153"/>
      <c r="G31" s="154"/>
      <c r="H31" s="100">
        <f>InvoicesMain[[#This Row],[Detail Total]]+InvoicesMain[[#This Row],[Other]]</f>
        <v>0</v>
      </c>
      <c r="I31" s="154"/>
      <c r="J31" s="100">
        <f>InvoicesMain[[#This Row],[Invoice Total]]-InvoicesMain[[#This Row],[Deposit]]</f>
        <v>0</v>
      </c>
      <c r="K31" s="138"/>
      <c r="L31" s="158"/>
      <c r="M31" s="158"/>
    </row>
    <row r="32" spans="2:13" ht="18.75" customHeight="1" x14ac:dyDescent="0.2">
      <c r="B32" s="138"/>
      <c r="C32" s="147"/>
      <c r="D32" s="148"/>
      <c r="E32" s="152"/>
      <c r="F32" s="153"/>
      <c r="G32" s="154"/>
      <c r="H32" s="100">
        <f>InvoicesMain[[#This Row],[Detail Total]]+InvoicesMain[[#This Row],[Other]]</f>
        <v>0</v>
      </c>
      <c r="I32" s="154"/>
      <c r="J32" s="100">
        <f>InvoicesMain[[#This Row],[Invoice Total]]-InvoicesMain[[#This Row],[Deposit]]</f>
        <v>0</v>
      </c>
      <c r="K32" s="138"/>
      <c r="L32" s="158"/>
      <c r="M32" s="158"/>
    </row>
    <row r="33" spans="2:13" ht="18.75" customHeight="1" x14ac:dyDescent="0.2">
      <c r="B33" s="138"/>
      <c r="C33" s="147"/>
      <c r="D33" s="148"/>
      <c r="E33" s="152"/>
      <c r="F33" s="153"/>
      <c r="G33" s="154"/>
      <c r="H33" s="100">
        <f>InvoicesMain[[#This Row],[Detail Total]]+InvoicesMain[[#This Row],[Other]]</f>
        <v>0</v>
      </c>
      <c r="I33" s="154"/>
      <c r="J33" s="100">
        <f>InvoicesMain[[#This Row],[Invoice Total]]-InvoicesMain[[#This Row],[Deposit]]</f>
        <v>0</v>
      </c>
      <c r="K33" s="138"/>
      <c r="L33" s="158"/>
      <c r="M33" s="158"/>
    </row>
    <row r="34" spans="2:13" ht="18.75" customHeight="1" x14ac:dyDescent="0.2">
      <c r="B34" s="138"/>
      <c r="C34" s="147"/>
      <c r="D34" s="148"/>
      <c r="E34" s="152"/>
      <c r="F34" s="153"/>
      <c r="G34" s="154"/>
      <c r="H34" s="100">
        <f>InvoicesMain[[#This Row],[Detail Total]]+InvoicesMain[[#This Row],[Other]]</f>
        <v>0</v>
      </c>
      <c r="I34" s="154"/>
      <c r="J34" s="100">
        <f>InvoicesMain[[#This Row],[Invoice Total]]-InvoicesMain[[#This Row],[Deposit]]</f>
        <v>0</v>
      </c>
      <c r="K34" s="138"/>
      <c r="L34" s="158"/>
      <c r="M34" s="158"/>
    </row>
    <row r="35" spans="2:13" ht="18.75" customHeight="1" x14ac:dyDescent="0.2">
      <c r="B35" s="138"/>
      <c r="C35" s="147"/>
      <c r="D35" s="148"/>
      <c r="E35" s="152"/>
      <c r="F35" s="153"/>
      <c r="G35" s="154"/>
      <c r="H35" s="100">
        <f>InvoicesMain[[#This Row],[Detail Total]]+InvoicesMain[[#This Row],[Other]]</f>
        <v>0</v>
      </c>
      <c r="I35" s="154"/>
      <c r="J35" s="100">
        <f>InvoicesMain[[#This Row],[Invoice Total]]-InvoicesMain[[#This Row],[Deposit]]</f>
        <v>0</v>
      </c>
      <c r="K35" s="138"/>
      <c r="L35" s="158"/>
      <c r="M35" s="158"/>
    </row>
    <row r="36" spans="2:13" ht="18.75" customHeight="1" x14ac:dyDescent="0.2">
      <c r="B36" s="138"/>
      <c r="C36" s="147"/>
      <c r="D36" s="148"/>
      <c r="E36" s="152"/>
      <c r="F36" s="153"/>
      <c r="G36" s="154"/>
      <c r="H36" s="100">
        <f>InvoicesMain[[#This Row],[Detail Total]]+InvoicesMain[[#This Row],[Other]]</f>
        <v>0</v>
      </c>
      <c r="I36" s="154"/>
      <c r="J36" s="100">
        <f>InvoicesMain[[#This Row],[Invoice Total]]-InvoicesMain[[#This Row],[Deposit]]</f>
        <v>0</v>
      </c>
      <c r="K36" s="138"/>
      <c r="L36" s="158"/>
      <c r="M36" s="158"/>
    </row>
    <row r="37" spans="2:13" ht="18.75" customHeight="1" x14ac:dyDescent="0.2">
      <c r="B37" s="138"/>
      <c r="C37" s="147"/>
      <c r="D37" s="148"/>
      <c r="E37" s="152"/>
      <c r="F37" s="153"/>
      <c r="G37" s="154"/>
      <c r="H37" s="100">
        <f>InvoicesMain[[#This Row],[Detail Total]]+InvoicesMain[[#This Row],[Other]]</f>
        <v>0</v>
      </c>
      <c r="I37" s="154"/>
      <c r="J37" s="100">
        <f>InvoicesMain[[#This Row],[Invoice Total]]-InvoicesMain[[#This Row],[Deposit]]</f>
        <v>0</v>
      </c>
      <c r="K37" s="138"/>
      <c r="L37" s="158"/>
      <c r="M37" s="158"/>
    </row>
    <row r="38" spans="2:13" ht="18.75" customHeight="1" x14ac:dyDescent="0.2">
      <c r="B38" s="138"/>
      <c r="C38" s="147"/>
      <c r="D38" s="148"/>
      <c r="E38" s="152"/>
      <c r="F38" s="153"/>
      <c r="G38" s="154"/>
      <c r="H38" s="100">
        <f>InvoicesMain[[#This Row],[Detail Total]]+InvoicesMain[[#This Row],[Other]]</f>
        <v>0</v>
      </c>
      <c r="I38" s="154"/>
      <c r="J38" s="100">
        <f>InvoicesMain[[#This Row],[Invoice Total]]-InvoicesMain[[#This Row],[Deposit]]</f>
        <v>0</v>
      </c>
      <c r="K38" s="138"/>
      <c r="L38" s="158"/>
      <c r="M38" s="158"/>
    </row>
    <row r="39" spans="2:13" ht="18.75" customHeight="1" x14ac:dyDescent="0.2">
      <c r="B39" s="138"/>
      <c r="C39" s="147"/>
      <c r="D39" s="148"/>
      <c r="E39" s="152"/>
      <c r="F39" s="153"/>
      <c r="G39" s="154"/>
      <c r="H39" s="100">
        <f>InvoicesMain[[#This Row],[Detail Total]]+InvoicesMain[[#This Row],[Other]]</f>
        <v>0</v>
      </c>
      <c r="I39" s="154"/>
      <c r="J39" s="100">
        <f>InvoicesMain[[#This Row],[Invoice Total]]-InvoicesMain[[#This Row],[Deposit]]</f>
        <v>0</v>
      </c>
      <c r="K39" s="138"/>
      <c r="L39" s="158"/>
      <c r="M39" s="158"/>
    </row>
    <row r="40" spans="2:13" ht="18.75" customHeight="1" x14ac:dyDescent="0.2">
      <c r="B40" s="138"/>
      <c r="C40" s="147"/>
      <c r="D40" s="148"/>
      <c r="E40" s="152"/>
      <c r="F40" s="153"/>
      <c r="G40" s="154"/>
      <c r="H40" s="100">
        <f>InvoicesMain[[#This Row],[Detail Total]]+InvoicesMain[[#This Row],[Other]]</f>
        <v>0</v>
      </c>
      <c r="I40" s="154"/>
      <c r="J40" s="100">
        <f>InvoicesMain[[#This Row],[Invoice Total]]-InvoicesMain[[#This Row],[Deposit]]</f>
        <v>0</v>
      </c>
      <c r="K40" s="138"/>
      <c r="L40" s="158"/>
      <c r="M40" s="158"/>
    </row>
    <row r="41" spans="2:13" ht="18.75" customHeight="1" x14ac:dyDescent="0.2">
      <c r="B41" s="138"/>
      <c r="C41" s="147"/>
      <c r="D41" s="148"/>
      <c r="E41" s="152"/>
      <c r="F41" s="153"/>
      <c r="G41" s="154"/>
      <c r="H41" s="100">
        <f>InvoicesMain[[#This Row],[Detail Total]]+InvoicesMain[[#This Row],[Other]]</f>
        <v>0</v>
      </c>
      <c r="I41" s="154"/>
      <c r="J41" s="100">
        <f>InvoicesMain[[#This Row],[Invoice Total]]-InvoicesMain[[#This Row],[Deposit]]</f>
        <v>0</v>
      </c>
      <c r="K41" s="138"/>
      <c r="L41" s="158"/>
      <c r="M41" s="158"/>
    </row>
    <row r="42" spans="2:13" ht="18.75" customHeight="1" x14ac:dyDescent="0.2">
      <c r="B42" s="138"/>
      <c r="C42" s="147"/>
      <c r="D42" s="148"/>
      <c r="E42" s="152"/>
      <c r="F42" s="153"/>
      <c r="G42" s="154"/>
      <c r="H42" s="100">
        <f>InvoicesMain[[#This Row],[Detail Total]]+InvoicesMain[[#This Row],[Other]]</f>
        <v>0</v>
      </c>
      <c r="I42" s="154"/>
      <c r="J42" s="100">
        <f>InvoicesMain[[#This Row],[Invoice Total]]-InvoicesMain[[#This Row],[Deposit]]</f>
        <v>0</v>
      </c>
      <c r="K42" s="138"/>
      <c r="L42" s="158"/>
      <c r="M42" s="158"/>
    </row>
    <row r="43" spans="2:13" ht="18.75" customHeight="1" x14ac:dyDescent="0.2">
      <c r="B43" s="138"/>
      <c r="C43" s="147"/>
      <c r="D43" s="148"/>
      <c r="E43" s="152"/>
      <c r="F43" s="153"/>
      <c r="G43" s="154"/>
      <c r="H43" s="100">
        <f>InvoicesMain[[#This Row],[Detail Total]]+InvoicesMain[[#This Row],[Other]]</f>
        <v>0</v>
      </c>
      <c r="I43" s="154"/>
      <c r="J43" s="100">
        <f>InvoicesMain[[#This Row],[Invoice Total]]-InvoicesMain[[#This Row],[Deposit]]</f>
        <v>0</v>
      </c>
      <c r="K43" s="138"/>
      <c r="L43" s="158"/>
      <c r="M43" s="158"/>
    </row>
    <row r="44" spans="2:13" ht="18.75" customHeight="1" x14ac:dyDescent="0.2">
      <c r="B44" s="138"/>
      <c r="C44" s="147"/>
      <c r="D44" s="148"/>
      <c r="E44" s="152"/>
      <c r="F44" s="153"/>
      <c r="G44" s="154"/>
      <c r="H44" s="100">
        <f>InvoicesMain[[#This Row],[Detail Total]]+InvoicesMain[[#This Row],[Other]]</f>
        <v>0</v>
      </c>
      <c r="I44" s="154"/>
      <c r="J44" s="100">
        <f>InvoicesMain[[#This Row],[Invoice Total]]-InvoicesMain[[#This Row],[Deposit]]</f>
        <v>0</v>
      </c>
      <c r="K44" s="138"/>
      <c r="L44" s="158"/>
      <c r="M44" s="158"/>
    </row>
    <row r="45" spans="2:13" ht="18.75" customHeight="1" x14ac:dyDescent="0.2">
      <c r="B45" s="138"/>
      <c r="C45" s="147"/>
      <c r="D45" s="148"/>
      <c r="E45" s="152"/>
      <c r="F45" s="153"/>
      <c r="G45" s="154"/>
      <c r="H45" s="100">
        <f>InvoicesMain[[#This Row],[Detail Total]]+InvoicesMain[[#This Row],[Other]]</f>
        <v>0</v>
      </c>
      <c r="I45" s="154"/>
      <c r="J45" s="100">
        <f>InvoicesMain[[#This Row],[Invoice Total]]-InvoicesMain[[#This Row],[Deposit]]</f>
        <v>0</v>
      </c>
      <c r="K45" s="138"/>
      <c r="L45" s="158"/>
      <c r="M45" s="158"/>
    </row>
    <row r="46" spans="2:13" ht="18.75" customHeight="1" x14ac:dyDescent="0.2">
      <c r="B46" s="138"/>
      <c r="C46" s="147"/>
      <c r="D46" s="148"/>
      <c r="E46" s="152"/>
      <c r="F46" s="153"/>
      <c r="G46" s="154"/>
      <c r="H46" s="100">
        <f>InvoicesMain[[#This Row],[Detail Total]]+InvoicesMain[[#This Row],[Other]]</f>
        <v>0</v>
      </c>
      <c r="I46" s="154"/>
      <c r="J46" s="100">
        <f>InvoicesMain[[#This Row],[Invoice Total]]-InvoicesMain[[#This Row],[Deposit]]</f>
        <v>0</v>
      </c>
      <c r="K46" s="138"/>
      <c r="L46" s="158"/>
      <c r="M46" s="158"/>
    </row>
    <row r="47" spans="2:13" ht="18.75" customHeight="1" x14ac:dyDescent="0.2">
      <c r="B47" s="138"/>
      <c r="C47" s="147"/>
      <c r="D47" s="148"/>
      <c r="E47" s="152"/>
      <c r="F47" s="153"/>
      <c r="G47" s="154"/>
      <c r="H47" s="100">
        <f>InvoicesMain[[#This Row],[Detail Total]]+InvoicesMain[[#This Row],[Other]]</f>
        <v>0</v>
      </c>
      <c r="I47" s="154"/>
      <c r="J47" s="100">
        <f>InvoicesMain[[#This Row],[Invoice Total]]-InvoicesMain[[#This Row],[Deposit]]</f>
        <v>0</v>
      </c>
      <c r="K47" s="138"/>
      <c r="L47" s="158"/>
      <c r="M47" s="158"/>
    </row>
    <row r="48" spans="2:13" ht="18.75" customHeight="1" x14ac:dyDescent="0.2">
      <c r="B48" s="138"/>
      <c r="C48" s="147"/>
      <c r="D48" s="148"/>
      <c r="E48" s="152"/>
      <c r="F48" s="153"/>
      <c r="G48" s="154"/>
      <c r="H48" s="100">
        <f>InvoicesMain[[#This Row],[Detail Total]]+InvoicesMain[[#This Row],[Other]]</f>
        <v>0</v>
      </c>
      <c r="I48" s="154"/>
      <c r="J48" s="100">
        <f>InvoicesMain[[#This Row],[Invoice Total]]-InvoicesMain[[#This Row],[Deposit]]</f>
        <v>0</v>
      </c>
      <c r="K48" s="138"/>
      <c r="L48" s="158"/>
      <c r="M48" s="158"/>
    </row>
    <row r="49" spans="2:13" ht="18.75" customHeight="1" x14ac:dyDescent="0.2">
      <c r="B49" s="138"/>
      <c r="C49" s="147"/>
      <c r="D49" s="148"/>
      <c r="E49" s="152"/>
      <c r="F49" s="153"/>
      <c r="G49" s="154"/>
      <c r="H49" s="100">
        <f>InvoicesMain[[#This Row],[Detail Total]]+InvoicesMain[[#This Row],[Other]]</f>
        <v>0</v>
      </c>
      <c r="I49" s="154"/>
      <c r="J49" s="100">
        <f>InvoicesMain[[#This Row],[Invoice Total]]-InvoicesMain[[#This Row],[Deposit]]</f>
        <v>0</v>
      </c>
      <c r="K49" s="138"/>
      <c r="L49" s="158"/>
      <c r="M49" s="158"/>
    </row>
    <row r="50" spans="2:13" ht="18.75" customHeight="1" x14ac:dyDescent="0.2">
      <c r="B50" s="138"/>
      <c r="C50" s="147"/>
      <c r="D50" s="148"/>
      <c r="E50" s="152"/>
      <c r="F50" s="153"/>
      <c r="G50" s="154"/>
      <c r="H50" s="100">
        <f>InvoicesMain[[#This Row],[Detail Total]]+InvoicesMain[[#This Row],[Other]]</f>
        <v>0</v>
      </c>
      <c r="I50" s="154"/>
      <c r="J50" s="100">
        <f>InvoicesMain[[#This Row],[Invoice Total]]-InvoicesMain[[#This Row],[Deposit]]</f>
        <v>0</v>
      </c>
      <c r="K50" s="138"/>
      <c r="L50" s="158"/>
      <c r="M50" s="158"/>
    </row>
    <row r="51" spans="2:13" ht="18.75" customHeight="1" x14ac:dyDescent="0.2">
      <c r="B51" s="138"/>
      <c r="C51" s="147"/>
      <c r="D51" s="148"/>
      <c r="E51" s="152"/>
      <c r="F51" s="153"/>
      <c r="G51" s="154"/>
      <c r="H51" s="100">
        <f>InvoicesMain[[#This Row],[Detail Total]]+InvoicesMain[[#This Row],[Other]]</f>
        <v>0</v>
      </c>
      <c r="I51" s="154"/>
      <c r="J51" s="100">
        <f>InvoicesMain[[#This Row],[Invoice Total]]-InvoicesMain[[#This Row],[Deposit]]</f>
        <v>0</v>
      </c>
      <c r="K51" s="138"/>
      <c r="L51" s="158"/>
      <c r="M51" s="158"/>
    </row>
    <row r="52" spans="2:13" ht="18.75" customHeight="1" x14ac:dyDescent="0.2">
      <c r="B52" s="138"/>
      <c r="C52" s="147"/>
      <c r="D52" s="148"/>
      <c r="E52" s="152"/>
      <c r="F52" s="153"/>
      <c r="G52" s="154"/>
      <c r="H52" s="100">
        <f>InvoicesMain[[#This Row],[Detail Total]]+InvoicesMain[[#This Row],[Other]]</f>
        <v>0</v>
      </c>
      <c r="I52" s="154"/>
      <c r="J52" s="100">
        <f>InvoicesMain[[#This Row],[Invoice Total]]-InvoicesMain[[#This Row],[Deposit]]</f>
        <v>0</v>
      </c>
      <c r="K52" s="138"/>
      <c r="L52" s="158"/>
      <c r="M52" s="158"/>
    </row>
    <row r="53" spans="2:13" ht="18.75" customHeight="1" x14ac:dyDescent="0.2">
      <c r="B53" s="138"/>
      <c r="C53" s="147"/>
      <c r="D53" s="148"/>
      <c r="E53" s="152"/>
      <c r="F53" s="153"/>
      <c r="G53" s="154"/>
      <c r="H53" s="100">
        <f>InvoicesMain[[#This Row],[Detail Total]]+InvoicesMain[[#This Row],[Other]]</f>
        <v>0</v>
      </c>
      <c r="I53" s="154"/>
      <c r="J53" s="100">
        <f>InvoicesMain[[#This Row],[Invoice Total]]-InvoicesMain[[#This Row],[Deposit]]</f>
        <v>0</v>
      </c>
      <c r="K53" s="138"/>
      <c r="L53" s="158"/>
      <c r="M53" s="158"/>
    </row>
    <row r="54" spans="2:13" ht="18.75" customHeight="1" x14ac:dyDescent="0.2">
      <c r="B54" s="138"/>
      <c r="C54" s="147"/>
      <c r="D54" s="148"/>
      <c r="E54" s="152"/>
      <c r="F54" s="153"/>
      <c r="G54" s="154"/>
      <c r="H54" s="100">
        <f>InvoicesMain[[#This Row],[Detail Total]]+InvoicesMain[[#This Row],[Other]]</f>
        <v>0</v>
      </c>
      <c r="I54" s="154"/>
      <c r="J54" s="100">
        <f>InvoicesMain[[#This Row],[Invoice Total]]-InvoicesMain[[#This Row],[Deposit]]</f>
        <v>0</v>
      </c>
      <c r="K54" s="138"/>
      <c r="L54" s="158"/>
      <c r="M54" s="158"/>
    </row>
    <row r="55" spans="2:13" ht="18.75" customHeight="1" x14ac:dyDescent="0.2">
      <c r="B55" s="138"/>
      <c r="C55" s="147"/>
      <c r="D55" s="148"/>
      <c r="E55" s="152"/>
      <c r="F55" s="153"/>
      <c r="G55" s="154"/>
      <c r="H55" s="100">
        <f>InvoicesMain[[#This Row],[Detail Total]]+InvoicesMain[[#This Row],[Other]]</f>
        <v>0</v>
      </c>
      <c r="I55" s="154"/>
      <c r="J55" s="100">
        <f>InvoicesMain[[#This Row],[Invoice Total]]-InvoicesMain[[#This Row],[Deposit]]</f>
        <v>0</v>
      </c>
      <c r="K55" s="138"/>
      <c r="L55" s="158"/>
      <c r="M55" s="158"/>
    </row>
    <row r="56" spans="2:13" ht="18.75" customHeight="1" x14ac:dyDescent="0.2">
      <c r="B56" s="138"/>
      <c r="C56" s="147"/>
      <c r="D56" s="148"/>
      <c r="E56" s="152"/>
      <c r="F56" s="153"/>
      <c r="G56" s="154"/>
      <c r="H56" s="100">
        <f>InvoicesMain[[#This Row],[Detail Total]]+InvoicesMain[[#This Row],[Other]]</f>
        <v>0</v>
      </c>
      <c r="I56" s="154"/>
      <c r="J56" s="100">
        <f>InvoicesMain[[#This Row],[Invoice Total]]-InvoicesMain[[#This Row],[Deposit]]</f>
        <v>0</v>
      </c>
      <c r="K56" s="138"/>
      <c r="L56" s="158"/>
      <c r="M56" s="158"/>
    </row>
    <row r="57" spans="2:13" ht="18.75" customHeight="1" x14ac:dyDescent="0.2">
      <c r="B57" s="138"/>
      <c r="C57" s="147"/>
      <c r="D57" s="148"/>
      <c r="E57" s="152"/>
      <c r="F57" s="153"/>
      <c r="G57" s="154"/>
      <c r="H57" s="100">
        <f>InvoicesMain[[#This Row],[Detail Total]]+InvoicesMain[[#This Row],[Other]]</f>
        <v>0</v>
      </c>
      <c r="I57" s="154"/>
      <c r="J57" s="100">
        <f>InvoicesMain[[#This Row],[Invoice Total]]-InvoicesMain[[#This Row],[Deposit]]</f>
        <v>0</v>
      </c>
      <c r="K57" s="138"/>
      <c r="L57" s="158"/>
      <c r="M57" s="158"/>
    </row>
    <row r="58" spans="2:13" ht="18.75" customHeight="1" x14ac:dyDescent="0.2">
      <c r="B58" s="138"/>
      <c r="C58" s="147"/>
      <c r="D58" s="148"/>
      <c r="E58" s="152"/>
      <c r="F58" s="153"/>
      <c r="G58" s="154"/>
      <c r="H58" s="100">
        <f>InvoicesMain[[#This Row],[Detail Total]]+InvoicesMain[[#This Row],[Other]]</f>
        <v>0</v>
      </c>
      <c r="I58" s="154"/>
      <c r="J58" s="100">
        <f>InvoicesMain[[#This Row],[Invoice Total]]-InvoicesMain[[#This Row],[Deposit]]</f>
        <v>0</v>
      </c>
      <c r="K58" s="138"/>
      <c r="L58" s="158"/>
      <c r="M58" s="158"/>
    </row>
    <row r="59" spans="2:13" ht="18.75" customHeight="1" x14ac:dyDescent="0.2">
      <c r="B59" s="138"/>
      <c r="C59" s="147"/>
      <c r="D59" s="148"/>
      <c r="E59" s="152"/>
      <c r="F59" s="153"/>
      <c r="G59" s="154"/>
      <c r="H59" s="100">
        <f>InvoicesMain[[#This Row],[Detail Total]]+InvoicesMain[[#This Row],[Other]]</f>
        <v>0</v>
      </c>
      <c r="I59" s="154"/>
      <c r="J59" s="100">
        <f>InvoicesMain[[#This Row],[Invoice Total]]-InvoicesMain[[#This Row],[Deposit]]</f>
        <v>0</v>
      </c>
      <c r="K59" s="138"/>
      <c r="L59" s="158"/>
      <c r="M59" s="158"/>
    </row>
    <row r="60" spans="2:13" ht="18.75" customHeight="1" x14ac:dyDescent="0.2">
      <c r="B60" s="138"/>
      <c r="C60" s="147"/>
      <c r="D60" s="148"/>
      <c r="E60" s="152"/>
      <c r="F60" s="153"/>
      <c r="G60" s="154"/>
      <c r="H60" s="100">
        <f>InvoicesMain[[#This Row],[Detail Total]]+InvoicesMain[[#This Row],[Other]]</f>
        <v>0</v>
      </c>
      <c r="I60" s="154"/>
      <c r="J60" s="100">
        <f>InvoicesMain[[#This Row],[Invoice Total]]-InvoicesMain[[#This Row],[Deposit]]</f>
        <v>0</v>
      </c>
      <c r="K60" s="138"/>
      <c r="L60" s="158"/>
      <c r="M60" s="158"/>
    </row>
    <row r="61" spans="2:13" ht="18.75" customHeight="1" x14ac:dyDescent="0.2">
      <c r="B61" s="103" t="s">
        <v>39</v>
      </c>
      <c r="C61" s="103" t="str">
        <f>"Total Invoices: "&amp;SUBTOTAL(103,InvoicesMain[Invoice '#])</f>
        <v>Total Invoices: 4</v>
      </c>
      <c r="D61" s="105"/>
      <c r="E61" s="24">
        <f>SUBTOTAL(109,InvoicesMain[Detail Total])</f>
        <v>70293</v>
      </c>
      <c r="F61" s="92">
        <f>SUBTOTAL(109,InvoicesMain[Discount])</f>
        <v>7</v>
      </c>
      <c r="G61" s="24">
        <f>SUBTOTAL(109,InvoicesMain[Other])</f>
        <v>800</v>
      </c>
      <c r="H61" s="24">
        <f>SUBTOTAL(109,InvoicesMain[Invoice Total])</f>
        <v>71093</v>
      </c>
      <c r="I61" s="24">
        <f>SUBTOTAL(109,InvoicesMain[Deposit])</f>
        <v>7000</v>
      </c>
      <c r="J61" s="24">
        <f>SUBTOTAL(109,InvoicesMain[Balance])</f>
        <v>64093</v>
      </c>
      <c r="K61" s="102"/>
      <c r="L61" s="103"/>
      <c r="M61" s="103"/>
    </row>
  </sheetData>
  <sheetProtection formatCells="0" formatColumns="0" formatRows="0" insertRows="0" insertHyperlinks="0" deleteRows="0" selectLockedCells="1" sort="0" autoFilter="0" pivotTables="0"/>
  <conditionalFormatting sqref="B4:B60">
    <cfRule type="duplicateValues" dxfId="65" priority="13"/>
  </conditionalFormatting>
  <hyperlinks>
    <hyperlink ref="J2" location="'Invoices - Main'!B61" display="Go To Total"/>
  </hyperlinks>
  <printOptions horizontalCentered="1"/>
  <pageMargins left="0.25" right="0.25" top="0.75" bottom="0.75" header="0.3" footer="0.3"/>
  <pageSetup scale="81" fitToHeight="0" orientation="landscape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Customers!$D$4:$D$8</xm:f>
          </x14:formula1>
          <xm:sqref>C4:C60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59999389629810485"/>
    <pageSetUpPr autoPageBreaks="0" fitToPage="1"/>
  </sheetPr>
  <dimension ref="B1:H364"/>
  <sheetViews>
    <sheetView showGridLines="0" zoomScaleNormal="100" workbookViewId="0">
      <selection activeCell="C9" sqref="C9"/>
    </sheetView>
  </sheetViews>
  <sheetFormatPr defaultColWidth="9.28515625" defaultRowHeight="18.75" customHeight="1" x14ac:dyDescent="0.2"/>
  <cols>
    <col min="1" max="1" width="2.140625" style="1" customWidth="1"/>
    <col min="2" max="2" width="24.85546875" style="1" customWidth="1"/>
    <col min="3" max="3" width="15.85546875" style="1" customWidth="1"/>
    <col min="4" max="4" width="15.42578125" style="1" customWidth="1"/>
    <col min="5" max="5" width="16.28515625" style="1" customWidth="1"/>
    <col min="6" max="6" width="15.5703125" style="1" customWidth="1"/>
    <col min="7" max="7" width="15.85546875" style="1" customWidth="1"/>
    <col min="8" max="8" width="14.7109375" style="1" customWidth="1"/>
    <col min="9" max="9" width="2.28515625" style="1" customWidth="1"/>
    <col min="10" max="16384" width="9.28515625" style="1"/>
  </cols>
  <sheetData>
    <row r="1" spans="2:8" ht="31.5" customHeight="1" x14ac:dyDescent="0.2"/>
    <row r="2" spans="2:8" ht="28.5" customHeight="1" x14ac:dyDescent="0.2">
      <c r="B2" s="6" t="s">
        <v>30</v>
      </c>
    </row>
    <row r="3" spans="2:8" ht="21.75" customHeight="1" x14ac:dyDescent="0.2">
      <c r="B3" s="134" t="s">
        <v>7</v>
      </c>
      <c r="C3" s="134" t="s">
        <v>33</v>
      </c>
      <c r="D3" s="134" t="s">
        <v>31</v>
      </c>
      <c r="E3" s="134" t="s">
        <v>20</v>
      </c>
      <c r="F3" s="134" t="s">
        <v>23</v>
      </c>
      <c r="G3" s="134" t="s">
        <v>22</v>
      </c>
      <c r="H3" s="134" t="s">
        <v>35</v>
      </c>
    </row>
    <row r="4" spans="2:8" ht="18.75" customHeight="1" x14ac:dyDescent="0.2">
      <c r="B4" s="9" t="s">
        <v>57</v>
      </c>
      <c r="C4" s="9" t="s">
        <v>90</v>
      </c>
      <c r="D4" s="9" t="s">
        <v>92</v>
      </c>
      <c r="E4" s="111">
        <v>120</v>
      </c>
      <c r="F4" s="107">
        <v>450</v>
      </c>
      <c r="G4" s="107">
        <v>2</v>
      </c>
      <c r="H4" s="107">
        <v>53760</v>
      </c>
    </row>
    <row r="5" spans="2:8" ht="18.75" customHeight="1" x14ac:dyDescent="0.2">
      <c r="B5" s="9" t="s">
        <v>63</v>
      </c>
      <c r="C5" s="9" t="s">
        <v>91</v>
      </c>
      <c r="D5" s="9" t="s">
        <v>62</v>
      </c>
      <c r="E5" s="111">
        <v>12</v>
      </c>
      <c r="F5" s="107">
        <v>57</v>
      </c>
      <c r="G5" s="107"/>
      <c r="H5" s="107">
        <v>684</v>
      </c>
    </row>
    <row r="6" spans="2:8" ht="18.75" customHeight="1" x14ac:dyDescent="0.2">
      <c r="B6" s="9" t="s">
        <v>57</v>
      </c>
      <c r="C6" s="9" t="s">
        <v>91</v>
      </c>
      <c r="D6" s="9" t="s">
        <v>92</v>
      </c>
      <c r="E6" s="111">
        <v>10</v>
      </c>
      <c r="F6" s="107">
        <v>450</v>
      </c>
      <c r="G6" s="107"/>
      <c r="H6" s="107">
        <v>4500</v>
      </c>
    </row>
    <row r="7" spans="2:8" ht="18.75" customHeight="1" x14ac:dyDescent="0.2">
      <c r="B7" s="9" t="s">
        <v>60</v>
      </c>
      <c r="C7" s="9">
        <v>909</v>
      </c>
      <c r="D7" s="9" t="s">
        <v>59</v>
      </c>
      <c r="E7" s="111">
        <v>5</v>
      </c>
      <c r="F7" s="107">
        <v>93</v>
      </c>
      <c r="G7" s="107"/>
      <c r="H7" s="107">
        <v>465</v>
      </c>
    </row>
    <row r="8" spans="2:8" ht="18.75" customHeight="1" x14ac:dyDescent="0.2">
      <c r="B8" s="9" t="s">
        <v>63</v>
      </c>
      <c r="C8" s="9">
        <v>909</v>
      </c>
      <c r="D8" s="9" t="s">
        <v>62</v>
      </c>
      <c r="E8" s="111">
        <v>6</v>
      </c>
      <c r="F8" s="107">
        <v>57</v>
      </c>
      <c r="G8" s="107"/>
      <c r="H8" s="107">
        <v>342</v>
      </c>
    </row>
    <row r="9" spans="2:8" ht="18.75" customHeight="1" x14ac:dyDescent="0.2">
      <c r="B9" s="9" t="s">
        <v>60</v>
      </c>
      <c r="C9" s="9">
        <v>500</v>
      </c>
      <c r="D9" s="9" t="s">
        <v>59</v>
      </c>
      <c r="E9" s="111">
        <v>45</v>
      </c>
      <c r="F9" s="107">
        <v>93</v>
      </c>
      <c r="G9" s="107">
        <v>2</v>
      </c>
      <c r="H9" s="107">
        <v>4095</v>
      </c>
    </row>
    <row r="10" spans="2:8" ht="18.75" customHeight="1" x14ac:dyDescent="0.2">
      <c r="B10" s="9" t="s">
        <v>69</v>
      </c>
      <c r="C10" s="9">
        <v>500</v>
      </c>
      <c r="D10" s="9" t="s">
        <v>68</v>
      </c>
      <c r="E10" s="111">
        <v>86</v>
      </c>
      <c r="F10" s="107">
        <v>75</v>
      </c>
      <c r="G10" s="107">
        <v>3</v>
      </c>
      <c r="H10" s="107">
        <v>6447</v>
      </c>
    </row>
    <row r="11" spans="2:8" ht="18.75" customHeight="1" x14ac:dyDescent="0.2">
      <c r="B11" s="9">
        <v>0</v>
      </c>
      <c r="C11" s="9" t="s">
        <v>82</v>
      </c>
      <c r="D11" s="9"/>
      <c r="E11" s="8"/>
      <c r="F11" s="107">
        <v>0</v>
      </c>
      <c r="G11" s="107"/>
      <c r="H11" s="107">
        <v>0</v>
      </c>
    </row>
    <row r="12" spans="2:8" ht="18.75" customHeight="1" x14ac:dyDescent="0.2">
      <c r="B12" s="9">
        <v>0</v>
      </c>
      <c r="C12" s="9" t="s">
        <v>82</v>
      </c>
      <c r="D12" s="9"/>
      <c r="E12" s="8"/>
      <c r="F12" s="107">
        <v>0</v>
      </c>
      <c r="G12" s="107"/>
      <c r="H12" s="107">
        <v>0</v>
      </c>
    </row>
    <row r="13" spans="2:8" ht="18.75" customHeight="1" x14ac:dyDescent="0.2">
      <c r="B13" s="9">
        <v>0</v>
      </c>
      <c r="C13" s="9" t="s">
        <v>82</v>
      </c>
      <c r="D13" s="9"/>
      <c r="E13" s="8"/>
      <c r="F13" s="107">
        <v>0</v>
      </c>
      <c r="G13" s="107"/>
      <c r="H13" s="107">
        <v>0</v>
      </c>
    </row>
    <row r="14" spans="2:8" ht="18.75" customHeight="1" x14ac:dyDescent="0.2">
      <c r="B14" s="9">
        <v>0</v>
      </c>
      <c r="C14" s="9" t="s">
        <v>82</v>
      </c>
      <c r="D14" s="9"/>
      <c r="E14" s="8"/>
      <c r="F14" s="107">
        <v>0</v>
      </c>
      <c r="G14" s="107"/>
      <c r="H14" s="107">
        <v>0</v>
      </c>
    </row>
    <row r="15" spans="2:8" ht="18.75" customHeight="1" x14ac:dyDescent="0.2">
      <c r="B15" s="9">
        <v>0</v>
      </c>
      <c r="C15" s="9" t="s">
        <v>82</v>
      </c>
      <c r="D15" s="9"/>
      <c r="E15" s="8"/>
      <c r="F15" s="107">
        <v>0</v>
      </c>
      <c r="G15" s="107"/>
      <c r="H15" s="107">
        <v>0</v>
      </c>
    </row>
    <row r="16" spans="2:8" ht="18.75" customHeight="1" x14ac:dyDescent="0.2">
      <c r="B16" s="9">
        <v>0</v>
      </c>
      <c r="C16" s="9" t="s">
        <v>82</v>
      </c>
      <c r="D16" s="9"/>
      <c r="E16" s="8"/>
      <c r="F16" s="107">
        <v>0</v>
      </c>
      <c r="G16" s="107"/>
      <c r="H16" s="107">
        <v>0</v>
      </c>
    </row>
    <row r="17" spans="2:8" ht="18.75" customHeight="1" x14ac:dyDescent="0.2">
      <c r="B17" s="9">
        <v>0</v>
      </c>
      <c r="C17" s="9" t="s">
        <v>82</v>
      </c>
      <c r="D17" s="9"/>
      <c r="E17" s="8"/>
      <c r="F17" s="107">
        <v>0</v>
      </c>
      <c r="G17" s="107"/>
      <c r="H17" s="107">
        <v>0</v>
      </c>
    </row>
    <row r="18" spans="2:8" ht="18.75" customHeight="1" x14ac:dyDescent="0.2">
      <c r="B18" s="9">
        <v>0</v>
      </c>
      <c r="C18" s="9" t="s">
        <v>82</v>
      </c>
      <c r="D18" s="9"/>
      <c r="E18" s="8"/>
      <c r="F18" s="107">
        <v>0</v>
      </c>
      <c r="G18" s="107"/>
      <c r="H18" s="107">
        <v>0</v>
      </c>
    </row>
    <row r="19" spans="2:8" ht="18.75" customHeight="1" x14ac:dyDescent="0.2">
      <c r="B19" s="9">
        <v>0</v>
      </c>
      <c r="C19" s="9" t="s">
        <v>82</v>
      </c>
      <c r="D19" s="9"/>
      <c r="E19" s="8"/>
      <c r="F19" s="107">
        <v>0</v>
      </c>
      <c r="G19" s="107"/>
      <c r="H19" s="107">
        <v>0</v>
      </c>
    </row>
    <row r="20" spans="2:8" ht="18.75" customHeight="1" x14ac:dyDescent="0.2">
      <c r="B20" s="9">
        <v>0</v>
      </c>
      <c r="C20" s="9" t="s">
        <v>82</v>
      </c>
      <c r="D20" s="9"/>
      <c r="E20" s="8"/>
      <c r="F20" s="107">
        <v>0</v>
      </c>
      <c r="G20" s="107"/>
      <c r="H20" s="107">
        <v>0</v>
      </c>
    </row>
    <row r="21" spans="2:8" ht="18.75" customHeight="1" x14ac:dyDescent="0.2">
      <c r="B21" s="9"/>
      <c r="C21" s="9"/>
      <c r="D21" s="9"/>
      <c r="E21" s="8"/>
      <c r="F21" s="107"/>
      <c r="G21" s="107"/>
      <c r="H21" s="107"/>
    </row>
    <row r="22" spans="2:8" ht="18.75" customHeight="1" x14ac:dyDescent="0.2">
      <c r="B22" s="9"/>
      <c r="C22" s="9"/>
      <c r="D22" s="9"/>
      <c r="E22" s="8"/>
      <c r="F22" s="107"/>
      <c r="G22" s="107"/>
      <c r="H22" s="107"/>
    </row>
    <row r="23" spans="2:8" ht="18.75" customHeight="1" x14ac:dyDescent="0.2">
      <c r="B23" s="9"/>
      <c r="C23" s="9"/>
      <c r="D23" s="9"/>
      <c r="E23" s="8"/>
      <c r="F23" s="107"/>
      <c r="G23" s="107"/>
      <c r="H23" s="107"/>
    </row>
    <row r="24" spans="2:8" ht="18.75" customHeight="1" x14ac:dyDescent="0.2">
      <c r="B24" s="9"/>
      <c r="C24" s="9"/>
      <c r="D24" s="9"/>
      <c r="E24" s="8"/>
      <c r="F24" s="107"/>
      <c r="G24" s="107"/>
      <c r="H24" s="107"/>
    </row>
    <row r="25" spans="2:8" ht="18.75" customHeight="1" x14ac:dyDescent="0.2">
      <c r="B25" s="9"/>
      <c r="C25" s="9"/>
      <c r="D25" s="9"/>
      <c r="E25" s="8"/>
      <c r="F25" s="107"/>
      <c r="G25" s="107"/>
      <c r="H25" s="107"/>
    </row>
    <row r="26" spans="2:8" ht="18.75" customHeight="1" x14ac:dyDescent="0.2">
      <c r="B26" s="9"/>
      <c r="C26" s="9"/>
      <c r="D26" s="9"/>
      <c r="E26" s="8"/>
      <c r="F26" s="107"/>
      <c r="G26" s="107"/>
      <c r="H26" s="107"/>
    </row>
    <row r="27" spans="2:8" ht="18.75" customHeight="1" x14ac:dyDescent="0.2">
      <c r="B27" s="9"/>
      <c r="C27" s="9"/>
      <c r="D27" s="9"/>
      <c r="E27" s="8"/>
      <c r="F27" s="107"/>
      <c r="G27" s="107"/>
      <c r="H27" s="107"/>
    </row>
    <row r="28" spans="2:8" s="2" customFormat="1" ht="18.75" customHeight="1" x14ac:dyDescent="0.2">
      <c r="B28" s="9"/>
      <c r="C28" s="20"/>
      <c r="D28" s="9"/>
      <c r="E28" s="8"/>
      <c r="F28" s="107"/>
      <c r="G28" s="107"/>
      <c r="H28" s="108"/>
    </row>
    <row r="29" spans="2:8" ht="18.75" customHeight="1" x14ac:dyDescent="0.2">
      <c r="B29" s="9"/>
      <c r="C29" s="9"/>
      <c r="D29" s="9"/>
      <c r="E29" s="8"/>
      <c r="F29" s="107"/>
      <c r="G29" s="107"/>
      <c r="H29" s="107"/>
    </row>
    <row r="30" spans="2:8" ht="18.75" customHeight="1" x14ac:dyDescent="0.2">
      <c r="B30" s="9"/>
      <c r="C30" s="9"/>
      <c r="D30" s="9"/>
      <c r="E30" s="8"/>
      <c r="F30" s="107"/>
      <c r="G30" s="107"/>
      <c r="H30" s="107"/>
    </row>
    <row r="31" spans="2:8" ht="18.75" customHeight="1" x14ac:dyDescent="0.2">
      <c r="B31" s="9"/>
      <c r="C31" s="9"/>
      <c r="D31" s="9"/>
      <c r="E31" s="8"/>
      <c r="F31" s="107"/>
      <c r="G31" s="107"/>
      <c r="H31" s="107"/>
    </row>
    <row r="32" spans="2:8" ht="18.75" customHeight="1" x14ac:dyDescent="0.2">
      <c r="B32" s="9"/>
      <c r="C32" s="9"/>
      <c r="D32" s="9"/>
      <c r="E32" s="8"/>
      <c r="F32" s="107"/>
      <c r="G32" s="107"/>
      <c r="H32" s="107"/>
    </row>
    <row r="33" spans="2:8" ht="18.75" customHeight="1" x14ac:dyDescent="0.2">
      <c r="B33" s="9"/>
      <c r="C33" s="9"/>
      <c r="D33" s="9"/>
      <c r="E33" s="8"/>
      <c r="F33" s="107"/>
      <c r="G33" s="107"/>
      <c r="H33" s="107"/>
    </row>
    <row r="34" spans="2:8" ht="18.75" customHeight="1" x14ac:dyDescent="0.2">
      <c r="B34" s="9"/>
      <c r="C34" s="9"/>
      <c r="D34" s="9"/>
      <c r="E34" s="8"/>
      <c r="F34" s="107"/>
      <c r="G34" s="107"/>
      <c r="H34" s="107"/>
    </row>
    <row r="35" spans="2:8" ht="18.75" customHeight="1" x14ac:dyDescent="0.2">
      <c r="B35" s="9"/>
      <c r="C35" s="9"/>
      <c r="D35" s="9"/>
      <c r="E35" s="8"/>
      <c r="F35" s="107"/>
      <c r="G35" s="107"/>
      <c r="H35" s="107"/>
    </row>
    <row r="36" spans="2:8" ht="18.75" customHeight="1" x14ac:dyDescent="0.2">
      <c r="B36" s="9"/>
      <c r="C36" s="9"/>
      <c r="D36" s="9"/>
      <c r="E36" s="8"/>
      <c r="F36" s="107"/>
      <c r="G36" s="107"/>
      <c r="H36" s="107"/>
    </row>
    <row r="37" spans="2:8" ht="18.75" customHeight="1" x14ac:dyDescent="0.2">
      <c r="B37" s="9"/>
      <c r="C37" s="9"/>
      <c r="D37" s="9"/>
      <c r="E37" s="8"/>
      <c r="F37" s="107"/>
      <c r="G37" s="107"/>
      <c r="H37" s="107"/>
    </row>
    <row r="38" spans="2:8" ht="18.75" customHeight="1" x14ac:dyDescent="0.2">
      <c r="B38" s="9"/>
      <c r="C38" s="9"/>
      <c r="D38" s="9"/>
      <c r="E38" s="8"/>
      <c r="F38" s="107"/>
      <c r="G38" s="107"/>
      <c r="H38" s="107"/>
    </row>
    <row r="39" spans="2:8" ht="18.75" customHeight="1" x14ac:dyDescent="0.2">
      <c r="B39" s="9"/>
      <c r="C39" s="9"/>
      <c r="D39" s="9"/>
      <c r="E39" s="8"/>
      <c r="F39" s="107"/>
      <c r="G39" s="107"/>
      <c r="H39" s="107"/>
    </row>
    <row r="40" spans="2:8" ht="18.75" customHeight="1" x14ac:dyDescent="0.2">
      <c r="B40" s="9"/>
      <c r="C40" s="9"/>
      <c r="D40" s="9"/>
      <c r="E40" s="8"/>
      <c r="F40" s="107"/>
      <c r="G40" s="107"/>
      <c r="H40" s="107"/>
    </row>
    <row r="41" spans="2:8" ht="18.75" customHeight="1" x14ac:dyDescent="0.2">
      <c r="B41" s="114"/>
      <c r="C41" s="114"/>
      <c r="D41" s="115"/>
      <c r="E41" s="116"/>
      <c r="F41" s="99"/>
      <c r="G41" s="99"/>
      <c r="H41" s="117"/>
    </row>
    <row r="42" spans="2:8" ht="18.75" customHeight="1" x14ac:dyDescent="0.2">
      <c r="B42" s="114"/>
      <c r="C42" s="114"/>
      <c r="D42" s="115"/>
      <c r="E42" s="116"/>
      <c r="F42" s="99"/>
      <c r="G42" s="99"/>
      <c r="H42" s="117"/>
    </row>
    <row r="43" spans="2:8" ht="18.75" customHeight="1" x14ac:dyDescent="0.2">
      <c r="B43" s="114"/>
      <c r="C43" s="114"/>
      <c r="D43" s="115"/>
      <c r="E43" s="116"/>
      <c r="F43" s="99"/>
      <c r="G43" s="99"/>
      <c r="H43" s="117"/>
    </row>
    <row r="44" spans="2:8" ht="18.75" customHeight="1" x14ac:dyDescent="0.2">
      <c r="B44" s="114"/>
      <c r="C44" s="114"/>
      <c r="D44" s="115"/>
      <c r="E44" s="116"/>
      <c r="F44" s="99"/>
      <c r="G44" s="99"/>
      <c r="H44" s="117"/>
    </row>
    <row r="45" spans="2:8" ht="18.75" customHeight="1" x14ac:dyDescent="0.2">
      <c r="B45" s="114"/>
      <c r="C45" s="114"/>
      <c r="D45" s="115"/>
      <c r="E45" s="116"/>
      <c r="F45" s="99"/>
      <c r="G45" s="99"/>
      <c r="H45" s="117"/>
    </row>
    <row r="46" spans="2:8" ht="18.75" customHeight="1" x14ac:dyDescent="0.2">
      <c r="B46" s="114"/>
      <c r="C46" s="114"/>
      <c r="D46" s="115"/>
      <c r="E46" s="116"/>
      <c r="F46" s="99"/>
      <c r="G46" s="99"/>
      <c r="H46" s="117"/>
    </row>
    <row r="47" spans="2:8" ht="18.75" customHeight="1" x14ac:dyDescent="0.2">
      <c r="B47" s="114"/>
      <c r="C47" s="114"/>
      <c r="D47" s="115"/>
      <c r="E47" s="116"/>
      <c r="F47" s="99"/>
      <c r="G47" s="99"/>
      <c r="H47" s="117"/>
    </row>
    <row r="48" spans="2:8" ht="18.75" customHeight="1" x14ac:dyDescent="0.2">
      <c r="B48" s="114"/>
      <c r="C48" s="114"/>
      <c r="D48" s="115"/>
      <c r="E48" s="116"/>
      <c r="F48" s="99"/>
      <c r="G48" s="99"/>
      <c r="H48" s="117"/>
    </row>
    <row r="49" spans="2:8" ht="18.75" customHeight="1" x14ac:dyDescent="0.2">
      <c r="B49" s="114"/>
      <c r="C49" s="114"/>
      <c r="D49" s="115"/>
      <c r="E49" s="116"/>
      <c r="F49" s="99"/>
      <c r="G49" s="99"/>
      <c r="H49" s="117"/>
    </row>
    <row r="50" spans="2:8" ht="18.75" customHeight="1" x14ac:dyDescent="0.2">
      <c r="B50" s="114"/>
      <c r="C50" s="114"/>
      <c r="D50" s="115"/>
      <c r="E50" s="116"/>
      <c r="F50" s="99"/>
      <c r="G50" s="99"/>
      <c r="H50" s="117"/>
    </row>
    <row r="51" spans="2:8" ht="18.75" customHeight="1" x14ac:dyDescent="0.2">
      <c r="B51" s="114"/>
      <c r="C51" s="114"/>
      <c r="D51" s="115"/>
      <c r="E51" s="116"/>
      <c r="F51" s="99"/>
      <c r="G51" s="99"/>
      <c r="H51" s="117"/>
    </row>
    <row r="52" spans="2:8" ht="18.75" customHeight="1" x14ac:dyDescent="0.2">
      <c r="B52" s="118"/>
      <c r="C52" s="118"/>
      <c r="D52" s="119"/>
      <c r="E52" s="120"/>
      <c r="F52" s="121"/>
      <c r="G52" s="121"/>
      <c r="H52" s="122"/>
    </row>
    <row r="53" spans="2:8" ht="18.75" customHeight="1" x14ac:dyDescent="0.2">
      <c r="B53" s="114"/>
      <c r="C53" s="114"/>
      <c r="D53" s="115"/>
      <c r="E53" s="116"/>
      <c r="F53" s="99"/>
      <c r="G53" s="99"/>
      <c r="H53" s="117"/>
    </row>
    <row r="54" spans="2:8" ht="18.75" customHeight="1" x14ac:dyDescent="0.2">
      <c r="B54" s="114"/>
      <c r="C54" s="114"/>
      <c r="D54" s="115"/>
      <c r="E54" s="116"/>
      <c r="F54" s="99"/>
      <c r="G54" s="99"/>
      <c r="H54" s="117"/>
    </row>
    <row r="55" spans="2:8" ht="18.75" customHeight="1" x14ac:dyDescent="0.2">
      <c r="B55" s="114"/>
      <c r="C55" s="114"/>
      <c r="D55" s="115"/>
      <c r="E55" s="116"/>
      <c r="F55" s="99"/>
      <c r="G55" s="99"/>
      <c r="H55" s="117"/>
    </row>
    <row r="56" spans="2:8" ht="18.75" customHeight="1" x14ac:dyDescent="0.2">
      <c r="B56" s="114"/>
      <c r="C56" s="114"/>
      <c r="D56" s="115"/>
      <c r="E56" s="116"/>
      <c r="F56" s="99"/>
      <c r="G56" s="99"/>
      <c r="H56" s="117"/>
    </row>
    <row r="57" spans="2:8" ht="18.75" customHeight="1" x14ac:dyDescent="0.2">
      <c r="B57" s="114"/>
      <c r="C57" s="114"/>
      <c r="D57" s="115"/>
      <c r="E57" s="116"/>
      <c r="F57" s="99"/>
      <c r="G57" s="99"/>
      <c r="H57" s="117"/>
    </row>
    <row r="58" spans="2:8" ht="18.75" customHeight="1" x14ac:dyDescent="0.2">
      <c r="B58" s="114"/>
      <c r="C58" s="114"/>
      <c r="D58" s="115"/>
      <c r="E58" s="116"/>
      <c r="F58" s="99"/>
      <c r="G58" s="99"/>
      <c r="H58" s="117"/>
    </row>
    <row r="59" spans="2:8" ht="18.75" customHeight="1" x14ac:dyDescent="0.2">
      <c r="B59" s="114"/>
      <c r="C59" s="114"/>
      <c r="D59" s="115"/>
      <c r="E59" s="116"/>
      <c r="F59" s="99"/>
      <c r="G59" s="99"/>
      <c r="H59" s="117"/>
    </row>
    <row r="60" spans="2:8" ht="18.75" customHeight="1" x14ac:dyDescent="0.2">
      <c r="B60" s="114"/>
      <c r="C60" s="114"/>
      <c r="D60" s="115"/>
      <c r="E60" s="116"/>
      <c r="F60" s="99"/>
      <c r="G60" s="99"/>
      <c r="H60" s="117"/>
    </row>
    <row r="61" spans="2:8" ht="18.75" customHeight="1" x14ac:dyDescent="0.2">
      <c r="B61" s="114"/>
      <c r="C61" s="114"/>
      <c r="D61" s="115"/>
      <c r="E61" s="116"/>
      <c r="F61" s="99"/>
      <c r="G61" s="99"/>
      <c r="H61" s="117"/>
    </row>
    <row r="62" spans="2:8" ht="18.75" customHeight="1" x14ac:dyDescent="0.2">
      <c r="B62" s="114"/>
      <c r="C62" s="114"/>
      <c r="D62" s="115"/>
      <c r="E62" s="116"/>
      <c r="F62" s="99"/>
      <c r="G62" s="99"/>
      <c r="H62" s="117"/>
    </row>
    <row r="63" spans="2:8" ht="18.75" customHeight="1" x14ac:dyDescent="0.2">
      <c r="B63" s="114"/>
      <c r="C63" s="114"/>
      <c r="D63" s="115"/>
      <c r="E63" s="116"/>
      <c r="F63" s="99"/>
      <c r="G63" s="99"/>
      <c r="H63" s="117"/>
    </row>
    <row r="64" spans="2:8" ht="18.75" customHeight="1" x14ac:dyDescent="0.2">
      <c r="B64" s="118"/>
      <c r="C64" s="118"/>
      <c r="D64" s="119"/>
      <c r="E64" s="120"/>
      <c r="F64" s="121"/>
      <c r="G64" s="121"/>
      <c r="H64" s="122"/>
    </row>
    <row r="65" spans="2:8" ht="18.75" customHeight="1" x14ac:dyDescent="0.2">
      <c r="B65" s="114"/>
      <c r="C65" s="114"/>
      <c r="D65" s="115"/>
      <c r="E65" s="116"/>
      <c r="F65" s="99"/>
      <c r="G65" s="99"/>
      <c r="H65" s="117"/>
    </row>
    <row r="66" spans="2:8" ht="18.75" customHeight="1" x14ac:dyDescent="0.2">
      <c r="B66" s="114"/>
      <c r="C66" s="114"/>
      <c r="D66" s="115"/>
      <c r="E66" s="116"/>
      <c r="F66" s="99"/>
      <c r="G66" s="99"/>
      <c r="H66" s="117"/>
    </row>
    <row r="67" spans="2:8" ht="18.75" customHeight="1" x14ac:dyDescent="0.2">
      <c r="B67" s="114"/>
      <c r="C67" s="114"/>
      <c r="D67" s="115"/>
      <c r="E67" s="116"/>
      <c r="F67" s="99"/>
      <c r="G67" s="99"/>
      <c r="H67" s="117"/>
    </row>
    <row r="68" spans="2:8" ht="18.75" customHeight="1" x14ac:dyDescent="0.2">
      <c r="B68" s="114"/>
      <c r="C68" s="114"/>
      <c r="D68" s="115"/>
      <c r="E68" s="116"/>
      <c r="F68" s="99"/>
      <c r="G68" s="99"/>
      <c r="H68" s="117"/>
    </row>
    <row r="69" spans="2:8" ht="18.75" customHeight="1" x14ac:dyDescent="0.2">
      <c r="B69" s="114"/>
      <c r="C69" s="114"/>
      <c r="D69" s="115"/>
      <c r="E69" s="116"/>
      <c r="F69" s="99"/>
      <c r="G69" s="99"/>
      <c r="H69" s="117"/>
    </row>
    <row r="70" spans="2:8" ht="18.75" customHeight="1" x14ac:dyDescent="0.2">
      <c r="B70" s="114"/>
      <c r="C70" s="114"/>
      <c r="D70" s="115"/>
      <c r="E70" s="116"/>
      <c r="F70" s="99"/>
      <c r="G70" s="99"/>
      <c r="H70" s="117"/>
    </row>
    <row r="71" spans="2:8" ht="18.75" customHeight="1" x14ac:dyDescent="0.2">
      <c r="B71" s="114"/>
      <c r="C71" s="114"/>
      <c r="D71" s="115"/>
      <c r="E71" s="116"/>
      <c r="F71" s="99"/>
      <c r="G71" s="99"/>
      <c r="H71" s="117"/>
    </row>
    <row r="72" spans="2:8" ht="18.75" customHeight="1" x14ac:dyDescent="0.2">
      <c r="B72" s="114"/>
      <c r="C72" s="114"/>
      <c r="D72" s="115"/>
      <c r="E72" s="116"/>
      <c r="F72" s="99"/>
      <c r="G72" s="99"/>
      <c r="H72" s="117"/>
    </row>
    <row r="73" spans="2:8" ht="18.75" customHeight="1" x14ac:dyDescent="0.2">
      <c r="B73" s="114"/>
      <c r="C73" s="114"/>
      <c r="D73" s="115"/>
      <c r="E73" s="116"/>
      <c r="F73" s="99"/>
      <c r="G73" s="99"/>
      <c r="H73" s="117"/>
    </row>
    <row r="74" spans="2:8" ht="18.75" customHeight="1" x14ac:dyDescent="0.2">
      <c r="B74" s="114"/>
      <c r="C74" s="114"/>
      <c r="D74" s="115"/>
      <c r="E74" s="116"/>
      <c r="F74" s="99"/>
      <c r="G74" s="99"/>
      <c r="H74" s="117"/>
    </row>
    <row r="75" spans="2:8" ht="18.75" customHeight="1" x14ac:dyDescent="0.2">
      <c r="B75" s="114"/>
      <c r="C75" s="114"/>
      <c r="D75" s="115"/>
      <c r="E75" s="116"/>
      <c r="F75" s="99"/>
      <c r="G75" s="99"/>
      <c r="H75" s="117"/>
    </row>
    <row r="76" spans="2:8" ht="18.75" customHeight="1" x14ac:dyDescent="0.2">
      <c r="B76" s="114"/>
      <c r="C76" s="114"/>
      <c r="D76" s="115"/>
      <c r="E76" s="116"/>
      <c r="F76" s="99"/>
      <c r="G76" s="99"/>
      <c r="H76" s="117"/>
    </row>
    <row r="77" spans="2:8" ht="18.75" customHeight="1" x14ac:dyDescent="0.2">
      <c r="B77" s="114"/>
      <c r="C77" s="114"/>
      <c r="D77" s="115"/>
      <c r="E77" s="116"/>
      <c r="F77" s="99"/>
      <c r="G77" s="99"/>
      <c r="H77" s="117"/>
    </row>
    <row r="78" spans="2:8" ht="18.75" customHeight="1" x14ac:dyDescent="0.2">
      <c r="B78" s="114"/>
      <c r="C78" s="114"/>
      <c r="D78" s="115"/>
      <c r="E78" s="116"/>
      <c r="F78" s="99"/>
      <c r="G78" s="99"/>
      <c r="H78" s="117"/>
    </row>
    <row r="79" spans="2:8" ht="18.75" customHeight="1" x14ac:dyDescent="0.2">
      <c r="B79" s="114"/>
      <c r="C79" s="114"/>
      <c r="D79" s="115"/>
      <c r="E79" s="116"/>
      <c r="F79" s="99"/>
      <c r="G79" s="99"/>
      <c r="H79" s="117"/>
    </row>
    <row r="80" spans="2:8" ht="18.75" customHeight="1" x14ac:dyDescent="0.2">
      <c r="B80" s="114"/>
      <c r="C80" s="114"/>
      <c r="D80" s="115"/>
      <c r="E80" s="116"/>
      <c r="F80" s="99"/>
      <c r="G80" s="99"/>
      <c r="H80" s="117"/>
    </row>
    <row r="81" spans="2:8" ht="18.75" customHeight="1" x14ac:dyDescent="0.2">
      <c r="B81" s="114"/>
      <c r="C81" s="114"/>
      <c r="D81" s="115"/>
      <c r="E81" s="116"/>
      <c r="F81" s="99"/>
      <c r="G81" s="99"/>
      <c r="H81" s="117"/>
    </row>
    <row r="82" spans="2:8" ht="18.75" customHeight="1" x14ac:dyDescent="0.2">
      <c r="B82" s="114"/>
      <c r="C82" s="114"/>
      <c r="D82" s="115"/>
      <c r="E82" s="116"/>
      <c r="F82" s="99"/>
      <c r="G82" s="99"/>
      <c r="H82" s="117"/>
    </row>
    <row r="83" spans="2:8" ht="18.75" customHeight="1" x14ac:dyDescent="0.2">
      <c r="B83" s="114"/>
      <c r="C83" s="114"/>
      <c r="D83" s="115"/>
      <c r="E83" s="116"/>
      <c r="F83" s="99"/>
      <c r="G83" s="99"/>
      <c r="H83" s="117"/>
    </row>
    <row r="84" spans="2:8" ht="18.75" customHeight="1" x14ac:dyDescent="0.2">
      <c r="B84" s="114"/>
      <c r="C84" s="114"/>
      <c r="D84" s="115"/>
      <c r="E84" s="116"/>
      <c r="F84" s="99"/>
      <c r="G84" s="99"/>
      <c r="H84" s="117"/>
    </row>
    <row r="85" spans="2:8" ht="18.75" customHeight="1" x14ac:dyDescent="0.2">
      <c r="B85" s="114"/>
      <c r="C85" s="114"/>
      <c r="D85" s="115"/>
      <c r="E85" s="116"/>
      <c r="F85" s="99"/>
      <c r="G85" s="99"/>
      <c r="H85" s="117"/>
    </row>
    <row r="86" spans="2:8" ht="18.75" customHeight="1" x14ac:dyDescent="0.2">
      <c r="B86" s="114"/>
      <c r="C86" s="114"/>
      <c r="D86" s="115"/>
      <c r="E86" s="116"/>
      <c r="F86" s="99"/>
      <c r="G86" s="99"/>
      <c r="H86" s="117"/>
    </row>
    <row r="87" spans="2:8" ht="18.75" customHeight="1" x14ac:dyDescent="0.2">
      <c r="B87" s="114"/>
      <c r="C87" s="114"/>
      <c r="D87" s="115"/>
      <c r="E87" s="116"/>
      <c r="F87" s="99"/>
      <c r="G87" s="99"/>
      <c r="H87" s="117"/>
    </row>
    <row r="88" spans="2:8" ht="18.75" customHeight="1" x14ac:dyDescent="0.2">
      <c r="B88" s="114"/>
      <c r="C88" s="114"/>
      <c r="D88" s="115"/>
      <c r="E88" s="116"/>
      <c r="F88" s="99"/>
      <c r="G88" s="99"/>
      <c r="H88" s="117"/>
    </row>
    <row r="89" spans="2:8" ht="18.75" customHeight="1" x14ac:dyDescent="0.2">
      <c r="B89" s="114"/>
      <c r="C89" s="114"/>
      <c r="D89" s="115"/>
      <c r="E89" s="116"/>
      <c r="F89" s="99"/>
      <c r="G89" s="99"/>
      <c r="H89" s="117"/>
    </row>
    <row r="90" spans="2:8" ht="18.75" customHeight="1" x14ac:dyDescent="0.2">
      <c r="B90" s="114"/>
      <c r="C90" s="114"/>
      <c r="D90" s="115"/>
      <c r="E90" s="116"/>
      <c r="F90" s="99"/>
      <c r="G90" s="99"/>
      <c r="H90" s="117"/>
    </row>
    <row r="91" spans="2:8" ht="18.75" customHeight="1" x14ac:dyDescent="0.2">
      <c r="B91" s="114"/>
      <c r="C91" s="114"/>
      <c r="D91" s="115"/>
      <c r="E91" s="116"/>
      <c r="F91" s="99"/>
      <c r="G91" s="99"/>
      <c r="H91" s="117"/>
    </row>
    <row r="92" spans="2:8" ht="18.75" customHeight="1" x14ac:dyDescent="0.2">
      <c r="B92" s="114"/>
      <c r="C92" s="114"/>
      <c r="D92" s="115"/>
      <c r="E92" s="116"/>
      <c r="F92" s="99"/>
      <c r="G92" s="99"/>
      <c r="H92" s="117"/>
    </row>
    <row r="93" spans="2:8" ht="18.75" customHeight="1" x14ac:dyDescent="0.2">
      <c r="B93" s="114"/>
      <c r="C93" s="114"/>
      <c r="D93" s="115"/>
      <c r="E93" s="116"/>
      <c r="F93" s="99"/>
      <c r="G93" s="99"/>
      <c r="H93" s="117"/>
    </row>
    <row r="94" spans="2:8" ht="18.75" customHeight="1" x14ac:dyDescent="0.2">
      <c r="B94" s="114"/>
      <c r="C94" s="114"/>
      <c r="D94" s="115"/>
      <c r="E94" s="116"/>
      <c r="F94" s="99"/>
      <c r="G94" s="99"/>
      <c r="H94" s="117"/>
    </row>
    <row r="95" spans="2:8" ht="18.75" customHeight="1" x14ac:dyDescent="0.2">
      <c r="B95" s="114"/>
      <c r="C95" s="114"/>
      <c r="D95" s="115"/>
      <c r="E95" s="116"/>
      <c r="F95" s="99"/>
      <c r="G95" s="99"/>
      <c r="H95" s="117"/>
    </row>
    <row r="96" spans="2:8" ht="18.75" customHeight="1" x14ac:dyDescent="0.2">
      <c r="B96" s="114"/>
      <c r="C96" s="114"/>
      <c r="D96" s="115"/>
      <c r="E96" s="116"/>
      <c r="F96" s="99"/>
      <c r="G96" s="99"/>
      <c r="H96" s="117"/>
    </row>
    <row r="97" spans="2:8" ht="18.75" customHeight="1" x14ac:dyDescent="0.2">
      <c r="B97" s="114"/>
      <c r="C97" s="114"/>
      <c r="D97" s="115"/>
      <c r="E97" s="116"/>
      <c r="F97" s="99"/>
      <c r="G97" s="99"/>
      <c r="H97" s="117"/>
    </row>
    <row r="98" spans="2:8" ht="18.75" customHeight="1" x14ac:dyDescent="0.2">
      <c r="B98" s="114"/>
      <c r="C98" s="114"/>
      <c r="D98" s="115"/>
      <c r="E98" s="116"/>
      <c r="F98" s="99"/>
      <c r="G98" s="99"/>
      <c r="H98" s="117"/>
    </row>
    <row r="99" spans="2:8" ht="18.75" customHeight="1" x14ac:dyDescent="0.2">
      <c r="B99" s="114"/>
      <c r="C99" s="114"/>
      <c r="D99" s="115"/>
      <c r="E99" s="116"/>
      <c r="F99" s="99"/>
      <c r="G99" s="99"/>
      <c r="H99" s="117"/>
    </row>
    <row r="100" spans="2:8" ht="18.75" customHeight="1" x14ac:dyDescent="0.2">
      <c r="B100" s="114"/>
      <c r="C100" s="114"/>
      <c r="D100" s="115"/>
      <c r="E100" s="116"/>
      <c r="F100" s="99"/>
      <c r="G100" s="99"/>
      <c r="H100" s="117"/>
    </row>
    <row r="101" spans="2:8" ht="18.75" customHeight="1" x14ac:dyDescent="0.2">
      <c r="B101" s="114"/>
      <c r="C101" s="114"/>
      <c r="D101" s="115"/>
      <c r="E101" s="116"/>
      <c r="F101" s="99"/>
      <c r="G101" s="99"/>
      <c r="H101" s="117"/>
    </row>
    <row r="102" spans="2:8" ht="18.75" customHeight="1" x14ac:dyDescent="0.2">
      <c r="B102" s="114"/>
      <c r="C102" s="114"/>
      <c r="D102" s="115"/>
      <c r="E102" s="116"/>
      <c r="F102" s="99"/>
      <c r="G102" s="99"/>
      <c r="H102" s="117"/>
    </row>
    <row r="103" spans="2:8" ht="18.75" customHeight="1" x14ac:dyDescent="0.2">
      <c r="B103" s="114"/>
      <c r="C103" s="114"/>
      <c r="D103" s="115"/>
      <c r="E103" s="116"/>
      <c r="F103" s="99"/>
      <c r="G103" s="99"/>
      <c r="H103" s="117"/>
    </row>
    <row r="104" spans="2:8" ht="18.75" customHeight="1" x14ac:dyDescent="0.2">
      <c r="B104" s="114"/>
      <c r="C104" s="114"/>
      <c r="D104" s="115"/>
      <c r="E104" s="116"/>
      <c r="F104" s="99"/>
      <c r="G104" s="99"/>
      <c r="H104" s="117"/>
    </row>
    <row r="105" spans="2:8" ht="18.75" customHeight="1" x14ac:dyDescent="0.2">
      <c r="B105" s="114"/>
      <c r="C105" s="114"/>
      <c r="D105" s="115"/>
      <c r="E105" s="116"/>
      <c r="F105" s="99"/>
      <c r="G105" s="99"/>
      <c r="H105" s="117"/>
    </row>
    <row r="106" spans="2:8" ht="18.75" customHeight="1" x14ac:dyDescent="0.2">
      <c r="B106" s="114"/>
      <c r="C106" s="114"/>
      <c r="D106" s="115"/>
      <c r="E106" s="116"/>
      <c r="F106" s="99"/>
      <c r="G106" s="99"/>
      <c r="H106" s="117"/>
    </row>
    <row r="107" spans="2:8" ht="18.75" customHeight="1" x14ac:dyDescent="0.2">
      <c r="B107" s="114"/>
      <c r="C107" s="114"/>
      <c r="D107" s="115"/>
      <c r="E107" s="116"/>
      <c r="F107" s="99"/>
      <c r="G107" s="99"/>
      <c r="H107" s="117"/>
    </row>
    <row r="108" spans="2:8" ht="18.75" customHeight="1" x14ac:dyDescent="0.2">
      <c r="B108" s="114"/>
      <c r="C108" s="114"/>
      <c r="D108" s="115"/>
      <c r="E108" s="116"/>
      <c r="F108" s="99"/>
      <c r="G108" s="99"/>
      <c r="H108" s="117"/>
    </row>
    <row r="109" spans="2:8" ht="18.75" customHeight="1" x14ac:dyDescent="0.2">
      <c r="B109" s="114"/>
      <c r="C109" s="114"/>
      <c r="D109" s="115"/>
      <c r="E109" s="116"/>
      <c r="F109" s="99"/>
      <c r="G109" s="99"/>
      <c r="H109" s="117"/>
    </row>
    <row r="110" spans="2:8" ht="18.75" customHeight="1" x14ac:dyDescent="0.2">
      <c r="B110" s="114"/>
      <c r="C110" s="114"/>
      <c r="D110" s="115"/>
      <c r="E110" s="116"/>
      <c r="F110" s="99"/>
      <c r="G110" s="99"/>
      <c r="H110" s="117"/>
    </row>
    <row r="111" spans="2:8" ht="18.75" customHeight="1" x14ac:dyDescent="0.2">
      <c r="B111" s="114"/>
      <c r="C111" s="114"/>
      <c r="D111" s="115"/>
      <c r="E111" s="116"/>
      <c r="F111" s="99"/>
      <c r="G111" s="99"/>
      <c r="H111" s="117"/>
    </row>
    <row r="112" spans="2:8" ht="18.75" customHeight="1" x14ac:dyDescent="0.2">
      <c r="B112" s="114"/>
      <c r="C112" s="114"/>
      <c r="D112" s="115"/>
      <c r="E112" s="116"/>
      <c r="F112" s="99"/>
      <c r="G112" s="99"/>
      <c r="H112" s="117"/>
    </row>
    <row r="113" spans="2:8" ht="18.75" customHeight="1" x14ac:dyDescent="0.2">
      <c r="B113" s="114"/>
      <c r="C113" s="114"/>
      <c r="D113" s="115"/>
      <c r="E113" s="116"/>
      <c r="F113" s="99"/>
      <c r="G113" s="99"/>
      <c r="H113" s="117"/>
    </row>
    <row r="114" spans="2:8" ht="18.75" customHeight="1" x14ac:dyDescent="0.2">
      <c r="B114" s="114"/>
      <c r="C114" s="114"/>
      <c r="D114" s="115"/>
      <c r="E114" s="116"/>
      <c r="F114" s="99"/>
      <c r="G114" s="99"/>
      <c r="H114" s="117"/>
    </row>
    <row r="115" spans="2:8" ht="18.75" customHeight="1" x14ac:dyDescent="0.2">
      <c r="B115" s="114"/>
      <c r="C115" s="114"/>
      <c r="D115" s="115"/>
      <c r="E115" s="116"/>
      <c r="F115" s="99"/>
      <c r="G115" s="99"/>
      <c r="H115" s="117"/>
    </row>
    <row r="116" spans="2:8" ht="18.75" customHeight="1" x14ac:dyDescent="0.2">
      <c r="B116" s="114"/>
      <c r="C116" s="114"/>
      <c r="D116" s="115"/>
      <c r="E116" s="116"/>
      <c r="F116" s="99"/>
      <c r="G116" s="99"/>
      <c r="H116" s="117"/>
    </row>
    <row r="117" spans="2:8" ht="18.75" customHeight="1" x14ac:dyDescent="0.2">
      <c r="B117" s="114"/>
      <c r="C117" s="114"/>
      <c r="D117" s="115"/>
      <c r="E117" s="116"/>
      <c r="F117" s="99"/>
      <c r="G117" s="99"/>
      <c r="H117" s="117"/>
    </row>
    <row r="118" spans="2:8" ht="18.75" customHeight="1" x14ac:dyDescent="0.2">
      <c r="B118" s="114"/>
      <c r="C118" s="114"/>
      <c r="D118" s="115"/>
      <c r="E118" s="116"/>
      <c r="F118" s="99"/>
      <c r="G118" s="99"/>
      <c r="H118" s="117"/>
    </row>
    <row r="119" spans="2:8" ht="18.75" customHeight="1" x14ac:dyDescent="0.2">
      <c r="B119" s="114"/>
      <c r="C119" s="114"/>
      <c r="D119" s="115"/>
      <c r="E119" s="116"/>
      <c r="F119" s="99"/>
      <c r="G119" s="99"/>
      <c r="H119" s="117"/>
    </row>
    <row r="120" spans="2:8" ht="18.75" customHeight="1" x14ac:dyDescent="0.2">
      <c r="B120" s="114"/>
      <c r="C120" s="114"/>
      <c r="D120" s="115"/>
      <c r="E120" s="116"/>
      <c r="F120" s="99"/>
      <c r="G120" s="99"/>
      <c r="H120" s="117"/>
    </row>
    <row r="121" spans="2:8" ht="18.75" customHeight="1" x14ac:dyDescent="0.2">
      <c r="B121" s="114"/>
      <c r="C121" s="114"/>
      <c r="D121" s="115"/>
      <c r="E121" s="116"/>
      <c r="F121" s="99"/>
      <c r="G121" s="99"/>
      <c r="H121" s="117"/>
    </row>
    <row r="122" spans="2:8" ht="18.75" customHeight="1" x14ac:dyDescent="0.2">
      <c r="B122" s="114"/>
      <c r="C122" s="114"/>
      <c r="D122" s="115"/>
      <c r="E122" s="116"/>
      <c r="F122" s="99"/>
      <c r="G122" s="99"/>
      <c r="H122" s="117"/>
    </row>
    <row r="123" spans="2:8" ht="18.75" customHeight="1" x14ac:dyDescent="0.2">
      <c r="B123" s="114"/>
      <c r="C123" s="114"/>
      <c r="D123" s="115"/>
      <c r="E123" s="116"/>
      <c r="F123" s="99"/>
      <c r="G123" s="99"/>
      <c r="H123" s="117"/>
    </row>
    <row r="124" spans="2:8" ht="18.75" customHeight="1" x14ac:dyDescent="0.2">
      <c r="B124" s="114"/>
      <c r="C124" s="114"/>
      <c r="D124" s="115"/>
      <c r="E124" s="116"/>
      <c r="F124" s="99"/>
      <c r="G124" s="99"/>
      <c r="H124" s="117"/>
    </row>
    <row r="125" spans="2:8" ht="18.75" customHeight="1" x14ac:dyDescent="0.2">
      <c r="B125" s="114"/>
      <c r="C125" s="114"/>
      <c r="D125" s="115"/>
      <c r="E125" s="116"/>
      <c r="F125" s="99"/>
      <c r="G125" s="99"/>
      <c r="H125" s="117"/>
    </row>
    <row r="126" spans="2:8" ht="18.75" customHeight="1" x14ac:dyDescent="0.2">
      <c r="B126" s="114"/>
      <c r="C126" s="114"/>
      <c r="D126" s="115"/>
      <c r="E126" s="116"/>
      <c r="F126" s="99"/>
      <c r="G126" s="99"/>
      <c r="H126" s="117"/>
    </row>
    <row r="127" spans="2:8" ht="18.75" customHeight="1" x14ac:dyDescent="0.2">
      <c r="B127" s="114"/>
      <c r="C127" s="114"/>
      <c r="D127" s="115"/>
      <c r="E127" s="116"/>
      <c r="F127" s="99"/>
      <c r="G127" s="99"/>
      <c r="H127" s="117"/>
    </row>
    <row r="128" spans="2:8" ht="18.75" customHeight="1" x14ac:dyDescent="0.2">
      <c r="B128" s="114"/>
      <c r="C128" s="114"/>
      <c r="D128" s="115"/>
      <c r="E128" s="116"/>
      <c r="F128" s="99"/>
      <c r="G128" s="99"/>
      <c r="H128" s="117"/>
    </row>
    <row r="129" spans="2:8" ht="18.75" customHeight="1" x14ac:dyDescent="0.2">
      <c r="B129" s="114"/>
      <c r="C129" s="114"/>
      <c r="D129" s="115"/>
      <c r="E129" s="116"/>
      <c r="F129" s="99"/>
      <c r="G129" s="99"/>
      <c r="H129" s="117"/>
    </row>
    <row r="130" spans="2:8" ht="18.75" customHeight="1" x14ac:dyDescent="0.2">
      <c r="B130" s="114"/>
      <c r="C130" s="114"/>
      <c r="D130" s="115"/>
      <c r="E130" s="116"/>
      <c r="F130" s="99"/>
      <c r="G130" s="99"/>
      <c r="H130" s="117"/>
    </row>
    <row r="131" spans="2:8" ht="18.75" customHeight="1" x14ac:dyDescent="0.2">
      <c r="B131" s="114"/>
      <c r="C131" s="114"/>
      <c r="D131" s="115"/>
      <c r="E131" s="116"/>
      <c r="F131" s="99"/>
      <c r="G131" s="99"/>
      <c r="H131" s="117"/>
    </row>
    <row r="132" spans="2:8" ht="18.75" customHeight="1" x14ac:dyDescent="0.2">
      <c r="B132" s="114"/>
      <c r="C132" s="114"/>
      <c r="D132" s="115"/>
      <c r="E132" s="116"/>
      <c r="F132" s="99"/>
      <c r="G132" s="99"/>
      <c r="H132" s="117"/>
    </row>
    <row r="133" spans="2:8" ht="18.75" customHeight="1" x14ac:dyDescent="0.2">
      <c r="B133" s="114"/>
      <c r="C133" s="114"/>
      <c r="D133" s="115"/>
      <c r="E133" s="116"/>
      <c r="F133" s="99"/>
      <c r="G133" s="99"/>
      <c r="H133" s="117"/>
    </row>
    <row r="134" spans="2:8" ht="18.75" customHeight="1" x14ac:dyDescent="0.2">
      <c r="B134" s="114"/>
      <c r="C134" s="114"/>
      <c r="D134" s="115"/>
      <c r="E134" s="116"/>
      <c r="F134" s="99"/>
      <c r="G134" s="99"/>
      <c r="H134" s="117"/>
    </row>
    <row r="135" spans="2:8" ht="18.75" customHeight="1" x14ac:dyDescent="0.2">
      <c r="B135" s="114"/>
      <c r="C135" s="114"/>
      <c r="D135" s="115"/>
      <c r="E135" s="116"/>
      <c r="F135" s="99"/>
      <c r="G135" s="99"/>
      <c r="H135" s="117"/>
    </row>
    <row r="136" spans="2:8" ht="18.75" customHeight="1" x14ac:dyDescent="0.2">
      <c r="B136" s="114"/>
      <c r="C136" s="114"/>
      <c r="D136" s="115"/>
      <c r="E136" s="116"/>
      <c r="F136" s="99"/>
      <c r="G136" s="99"/>
      <c r="H136" s="117"/>
    </row>
    <row r="137" spans="2:8" ht="18.75" customHeight="1" x14ac:dyDescent="0.2">
      <c r="B137" s="114"/>
      <c r="C137" s="114"/>
      <c r="D137" s="115"/>
      <c r="E137" s="116"/>
      <c r="F137" s="99"/>
      <c r="G137" s="99"/>
      <c r="H137" s="117"/>
    </row>
    <row r="138" spans="2:8" ht="18.75" customHeight="1" x14ac:dyDescent="0.2">
      <c r="B138" s="114"/>
      <c r="C138" s="114"/>
      <c r="D138" s="115"/>
      <c r="E138" s="116"/>
      <c r="F138" s="99"/>
      <c r="G138" s="99"/>
      <c r="H138" s="117"/>
    </row>
    <row r="139" spans="2:8" ht="18.75" customHeight="1" x14ac:dyDescent="0.2">
      <c r="B139" s="114"/>
      <c r="C139" s="114"/>
      <c r="D139" s="115"/>
      <c r="E139" s="116"/>
      <c r="F139" s="99"/>
      <c r="G139" s="99"/>
      <c r="H139" s="117"/>
    </row>
    <row r="140" spans="2:8" ht="18.75" customHeight="1" x14ac:dyDescent="0.2">
      <c r="B140" s="114"/>
      <c r="C140" s="114"/>
      <c r="D140" s="115"/>
      <c r="E140" s="116"/>
      <c r="F140" s="99"/>
      <c r="G140" s="99"/>
      <c r="H140" s="117"/>
    </row>
    <row r="141" spans="2:8" ht="18.75" customHeight="1" x14ac:dyDescent="0.2">
      <c r="B141" s="114"/>
      <c r="C141" s="114"/>
      <c r="D141" s="115"/>
      <c r="E141" s="116"/>
      <c r="F141" s="99"/>
      <c r="G141" s="99"/>
      <c r="H141" s="117"/>
    </row>
    <row r="142" spans="2:8" ht="18.75" customHeight="1" x14ac:dyDescent="0.2">
      <c r="B142" s="114"/>
      <c r="C142" s="114"/>
      <c r="D142" s="115"/>
      <c r="E142" s="116"/>
      <c r="F142" s="99"/>
      <c r="G142" s="99"/>
      <c r="H142" s="117"/>
    </row>
    <row r="143" spans="2:8" ht="18.75" customHeight="1" x14ac:dyDescent="0.2">
      <c r="B143" s="114"/>
      <c r="C143" s="114"/>
      <c r="D143" s="115"/>
      <c r="E143" s="116"/>
      <c r="F143" s="99"/>
      <c r="G143" s="99"/>
      <c r="H143" s="117"/>
    </row>
    <row r="144" spans="2:8" ht="18.75" customHeight="1" x14ac:dyDescent="0.2">
      <c r="B144" s="114"/>
      <c r="C144" s="114"/>
      <c r="D144" s="115"/>
      <c r="E144" s="116"/>
      <c r="F144" s="99"/>
      <c r="G144" s="99"/>
      <c r="H144" s="117"/>
    </row>
    <row r="145" spans="2:8" ht="18.75" customHeight="1" x14ac:dyDescent="0.2">
      <c r="B145" s="114"/>
      <c r="C145" s="114"/>
      <c r="D145" s="115"/>
      <c r="E145" s="116"/>
      <c r="F145" s="99"/>
      <c r="G145" s="99"/>
      <c r="H145" s="117"/>
    </row>
    <row r="146" spans="2:8" ht="18.75" customHeight="1" x14ac:dyDescent="0.2">
      <c r="B146" s="114"/>
      <c r="C146" s="114"/>
      <c r="D146" s="115"/>
      <c r="E146" s="116"/>
      <c r="F146" s="99"/>
      <c r="G146" s="99"/>
      <c r="H146" s="117"/>
    </row>
    <row r="147" spans="2:8" ht="18.75" customHeight="1" x14ac:dyDescent="0.2">
      <c r="B147" s="114"/>
      <c r="C147" s="114"/>
      <c r="D147" s="115"/>
      <c r="E147" s="116"/>
      <c r="F147" s="99"/>
      <c r="G147" s="99"/>
      <c r="H147" s="117"/>
    </row>
    <row r="148" spans="2:8" ht="18.75" customHeight="1" x14ac:dyDescent="0.2">
      <c r="B148" s="114"/>
      <c r="C148" s="114"/>
      <c r="D148" s="115"/>
      <c r="E148" s="116"/>
      <c r="F148" s="99"/>
      <c r="G148" s="99"/>
      <c r="H148" s="117"/>
    </row>
    <row r="149" spans="2:8" ht="18.75" customHeight="1" x14ac:dyDescent="0.2">
      <c r="B149" s="114"/>
      <c r="C149" s="114"/>
      <c r="D149" s="115"/>
      <c r="E149" s="116"/>
      <c r="F149" s="99"/>
      <c r="G149" s="99"/>
      <c r="H149" s="117"/>
    </row>
    <row r="150" spans="2:8" ht="18.75" customHeight="1" x14ac:dyDescent="0.2">
      <c r="B150" s="114"/>
      <c r="C150" s="114"/>
      <c r="D150" s="115"/>
      <c r="E150" s="116"/>
      <c r="F150" s="99"/>
      <c r="G150" s="99"/>
      <c r="H150" s="117"/>
    </row>
    <row r="151" spans="2:8" ht="18.75" customHeight="1" x14ac:dyDescent="0.2">
      <c r="B151" s="114"/>
      <c r="C151" s="114"/>
      <c r="D151" s="115"/>
      <c r="E151" s="116"/>
      <c r="F151" s="99"/>
      <c r="G151" s="99"/>
      <c r="H151" s="117"/>
    </row>
    <row r="152" spans="2:8" ht="18.75" customHeight="1" x14ac:dyDescent="0.2">
      <c r="B152" s="114"/>
      <c r="C152" s="114"/>
      <c r="D152" s="115"/>
      <c r="E152" s="116"/>
      <c r="F152" s="99"/>
      <c r="G152" s="99"/>
      <c r="H152" s="117"/>
    </row>
    <row r="153" spans="2:8" ht="18.75" customHeight="1" x14ac:dyDescent="0.2">
      <c r="B153" s="114"/>
      <c r="C153" s="114"/>
      <c r="D153" s="115"/>
      <c r="E153" s="116"/>
      <c r="F153" s="99"/>
      <c r="G153" s="99"/>
      <c r="H153" s="117"/>
    </row>
    <row r="154" spans="2:8" ht="18.75" customHeight="1" x14ac:dyDescent="0.2">
      <c r="B154" s="114"/>
      <c r="C154" s="114"/>
      <c r="D154" s="115"/>
      <c r="E154" s="116"/>
      <c r="F154" s="99"/>
      <c r="G154" s="99"/>
      <c r="H154" s="117"/>
    </row>
    <row r="155" spans="2:8" ht="18.75" customHeight="1" x14ac:dyDescent="0.2">
      <c r="B155" s="114"/>
      <c r="C155" s="114"/>
      <c r="D155" s="115"/>
      <c r="E155" s="116"/>
      <c r="F155" s="99"/>
      <c r="G155" s="99"/>
      <c r="H155" s="117"/>
    </row>
    <row r="156" spans="2:8" ht="18.75" customHeight="1" x14ac:dyDescent="0.2">
      <c r="B156" s="114"/>
      <c r="C156" s="114"/>
      <c r="D156" s="115"/>
      <c r="E156" s="116"/>
      <c r="F156" s="99"/>
      <c r="G156" s="99"/>
      <c r="H156" s="117"/>
    </row>
    <row r="157" spans="2:8" ht="18.75" customHeight="1" x14ac:dyDescent="0.2">
      <c r="B157" s="114"/>
      <c r="C157" s="114"/>
      <c r="D157" s="115"/>
      <c r="E157" s="116"/>
      <c r="F157" s="99"/>
      <c r="G157" s="99"/>
      <c r="H157" s="117"/>
    </row>
    <row r="158" spans="2:8" ht="18.75" customHeight="1" x14ac:dyDescent="0.2">
      <c r="B158" s="114"/>
      <c r="C158" s="114"/>
      <c r="D158" s="115"/>
      <c r="E158" s="116"/>
      <c r="F158" s="99"/>
      <c r="G158" s="99"/>
      <c r="H158" s="117"/>
    </row>
    <row r="159" spans="2:8" ht="18.75" customHeight="1" x14ac:dyDescent="0.2">
      <c r="B159" s="114"/>
      <c r="C159" s="114"/>
      <c r="D159" s="115"/>
      <c r="E159" s="116"/>
      <c r="F159" s="99"/>
      <c r="G159" s="99"/>
      <c r="H159" s="117"/>
    </row>
    <row r="160" spans="2:8" ht="18.75" customHeight="1" x14ac:dyDescent="0.2">
      <c r="B160" s="114"/>
      <c r="C160" s="114"/>
      <c r="D160" s="115"/>
      <c r="E160" s="116"/>
      <c r="F160" s="99"/>
      <c r="G160" s="99"/>
      <c r="H160" s="117"/>
    </row>
    <row r="161" spans="2:8" ht="18.75" customHeight="1" x14ac:dyDescent="0.2">
      <c r="B161" s="114"/>
      <c r="C161" s="114"/>
      <c r="D161" s="115"/>
      <c r="E161" s="116"/>
      <c r="F161" s="99"/>
      <c r="G161" s="99"/>
      <c r="H161" s="117"/>
    </row>
    <row r="162" spans="2:8" ht="18.75" customHeight="1" x14ac:dyDescent="0.2">
      <c r="B162" s="114"/>
      <c r="C162" s="114"/>
      <c r="D162" s="115"/>
      <c r="E162" s="116"/>
      <c r="F162" s="99"/>
      <c r="G162" s="99"/>
      <c r="H162" s="117"/>
    </row>
    <row r="163" spans="2:8" ht="18.75" customHeight="1" x14ac:dyDescent="0.2">
      <c r="B163" s="114"/>
      <c r="C163" s="114"/>
      <c r="D163" s="115"/>
      <c r="E163" s="116"/>
      <c r="F163" s="99"/>
      <c r="G163" s="99"/>
      <c r="H163" s="117"/>
    </row>
    <row r="164" spans="2:8" ht="18.75" customHeight="1" x14ac:dyDescent="0.2">
      <c r="B164" s="118"/>
      <c r="C164" s="118"/>
      <c r="D164" s="119"/>
      <c r="E164" s="120"/>
      <c r="F164" s="121"/>
      <c r="G164" s="121"/>
      <c r="H164" s="122"/>
    </row>
    <row r="165" spans="2:8" ht="18.75" customHeight="1" x14ac:dyDescent="0.2">
      <c r="B165" s="114"/>
      <c r="C165" s="114"/>
      <c r="D165" s="115"/>
      <c r="E165" s="116"/>
      <c r="F165" s="99"/>
      <c r="G165" s="99"/>
      <c r="H165" s="117"/>
    </row>
    <row r="166" spans="2:8" ht="18.75" customHeight="1" x14ac:dyDescent="0.2">
      <c r="B166" s="114"/>
      <c r="C166" s="114"/>
      <c r="D166" s="115"/>
      <c r="E166" s="116"/>
      <c r="F166" s="99"/>
      <c r="G166" s="99"/>
      <c r="H166" s="117"/>
    </row>
    <row r="167" spans="2:8" ht="18.75" customHeight="1" x14ac:dyDescent="0.2">
      <c r="B167" s="114"/>
      <c r="C167" s="114"/>
      <c r="D167" s="115"/>
      <c r="E167" s="116"/>
      <c r="F167" s="99"/>
      <c r="G167" s="99"/>
      <c r="H167" s="117"/>
    </row>
    <row r="168" spans="2:8" ht="18.75" customHeight="1" x14ac:dyDescent="0.2">
      <c r="B168" s="114"/>
      <c r="C168" s="114"/>
      <c r="D168" s="115"/>
      <c r="E168" s="116"/>
      <c r="F168" s="99"/>
      <c r="G168" s="99"/>
      <c r="H168" s="117"/>
    </row>
    <row r="169" spans="2:8" ht="18.75" customHeight="1" x14ac:dyDescent="0.2">
      <c r="B169" s="114"/>
      <c r="C169" s="114"/>
      <c r="D169" s="115"/>
      <c r="E169" s="116"/>
      <c r="F169" s="99"/>
      <c r="G169" s="99"/>
      <c r="H169" s="117"/>
    </row>
    <row r="170" spans="2:8" ht="18.75" customHeight="1" x14ac:dyDescent="0.2">
      <c r="B170" s="114"/>
      <c r="C170" s="114"/>
      <c r="D170" s="115"/>
      <c r="E170" s="116"/>
      <c r="F170" s="99"/>
      <c r="G170" s="99"/>
      <c r="H170" s="117"/>
    </row>
    <row r="171" spans="2:8" ht="18.75" customHeight="1" x14ac:dyDescent="0.2">
      <c r="B171" s="114"/>
      <c r="C171" s="114"/>
      <c r="D171" s="115"/>
      <c r="E171" s="116"/>
      <c r="F171" s="99"/>
      <c r="G171" s="99"/>
      <c r="H171" s="117"/>
    </row>
    <row r="172" spans="2:8" ht="18.75" customHeight="1" x14ac:dyDescent="0.2">
      <c r="B172" s="114"/>
      <c r="C172" s="114"/>
      <c r="D172" s="115"/>
      <c r="E172" s="116"/>
      <c r="F172" s="99"/>
      <c r="G172" s="99"/>
      <c r="H172" s="117"/>
    </row>
    <row r="173" spans="2:8" ht="18.75" customHeight="1" x14ac:dyDescent="0.2">
      <c r="B173" s="114"/>
      <c r="C173" s="114"/>
      <c r="D173" s="115"/>
      <c r="E173" s="116"/>
      <c r="F173" s="99"/>
      <c r="G173" s="99"/>
      <c r="H173" s="117"/>
    </row>
    <row r="174" spans="2:8" ht="18.75" customHeight="1" x14ac:dyDescent="0.2">
      <c r="B174" s="114"/>
      <c r="C174" s="114"/>
      <c r="D174" s="115"/>
      <c r="E174" s="116"/>
      <c r="F174" s="99"/>
      <c r="G174" s="99"/>
      <c r="H174" s="117"/>
    </row>
    <row r="175" spans="2:8" ht="18.75" customHeight="1" x14ac:dyDescent="0.2">
      <c r="B175" s="114"/>
      <c r="C175" s="114"/>
      <c r="D175" s="115"/>
      <c r="E175" s="116"/>
      <c r="F175" s="99"/>
      <c r="G175" s="99"/>
      <c r="H175" s="117"/>
    </row>
    <row r="176" spans="2:8" ht="18.75" customHeight="1" x14ac:dyDescent="0.2">
      <c r="B176" s="114"/>
      <c r="C176" s="114"/>
      <c r="D176" s="115"/>
      <c r="E176" s="116"/>
      <c r="F176" s="99"/>
      <c r="G176" s="99"/>
      <c r="H176" s="117"/>
    </row>
    <row r="177" spans="2:8" ht="18.75" customHeight="1" x14ac:dyDescent="0.2">
      <c r="B177" s="114"/>
      <c r="C177" s="114"/>
      <c r="D177" s="115"/>
      <c r="E177" s="116"/>
      <c r="F177" s="99"/>
      <c r="G177" s="99"/>
      <c r="H177" s="117"/>
    </row>
    <row r="178" spans="2:8" ht="18.75" customHeight="1" x14ac:dyDescent="0.2">
      <c r="B178" s="114"/>
      <c r="C178" s="114"/>
      <c r="D178" s="115"/>
      <c r="E178" s="116"/>
      <c r="F178" s="99"/>
      <c r="G178" s="99"/>
      <c r="H178" s="117"/>
    </row>
    <row r="179" spans="2:8" ht="18.75" customHeight="1" x14ac:dyDescent="0.2">
      <c r="B179" s="114"/>
      <c r="C179" s="114"/>
      <c r="D179" s="115"/>
      <c r="E179" s="116"/>
      <c r="F179" s="99"/>
      <c r="G179" s="99"/>
      <c r="H179" s="117"/>
    </row>
    <row r="180" spans="2:8" ht="18.75" customHeight="1" x14ac:dyDescent="0.2">
      <c r="B180" s="114"/>
      <c r="C180" s="114"/>
      <c r="D180" s="115"/>
      <c r="E180" s="116"/>
      <c r="F180" s="99"/>
      <c r="G180" s="99"/>
      <c r="H180" s="117"/>
    </row>
    <row r="181" spans="2:8" ht="18.75" customHeight="1" x14ac:dyDescent="0.2">
      <c r="B181" s="114"/>
      <c r="C181" s="114"/>
      <c r="D181" s="115"/>
      <c r="E181" s="116"/>
      <c r="F181" s="99"/>
      <c r="G181" s="99"/>
      <c r="H181" s="117"/>
    </row>
    <row r="182" spans="2:8" ht="18.75" customHeight="1" x14ac:dyDescent="0.2">
      <c r="B182" s="114"/>
      <c r="C182" s="114"/>
      <c r="D182" s="115"/>
      <c r="E182" s="116"/>
      <c r="F182" s="99"/>
      <c r="G182" s="99"/>
      <c r="H182" s="117"/>
    </row>
    <row r="183" spans="2:8" ht="18.75" customHeight="1" x14ac:dyDescent="0.2">
      <c r="B183" s="114"/>
      <c r="C183" s="114"/>
      <c r="D183" s="115"/>
      <c r="E183" s="116"/>
      <c r="F183" s="99"/>
      <c r="G183" s="99"/>
      <c r="H183" s="117"/>
    </row>
    <row r="184" spans="2:8" ht="18.75" customHeight="1" x14ac:dyDescent="0.2">
      <c r="B184" s="114"/>
      <c r="C184" s="114"/>
      <c r="D184" s="115"/>
      <c r="E184" s="116"/>
      <c r="F184" s="99"/>
      <c r="G184" s="99"/>
      <c r="H184" s="117"/>
    </row>
    <row r="185" spans="2:8" ht="18.75" customHeight="1" x14ac:dyDescent="0.2">
      <c r="B185" s="114"/>
      <c r="C185" s="114"/>
      <c r="D185" s="115"/>
      <c r="E185" s="116"/>
      <c r="F185" s="99"/>
      <c r="G185" s="99"/>
      <c r="H185" s="117"/>
    </row>
    <row r="186" spans="2:8" ht="18.75" customHeight="1" x14ac:dyDescent="0.2">
      <c r="B186" s="114"/>
      <c r="C186" s="114"/>
      <c r="D186" s="115"/>
      <c r="E186" s="116"/>
      <c r="F186" s="99"/>
      <c r="G186" s="99"/>
      <c r="H186" s="117"/>
    </row>
    <row r="187" spans="2:8" ht="18.75" customHeight="1" x14ac:dyDescent="0.2">
      <c r="B187" s="114"/>
      <c r="C187" s="114"/>
      <c r="D187" s="115"/>
      <c r="E187" s="116"/>
      <c r="F187" s="99"/>
      <c r="G187" s="99"/>
      <c r="H187" s="117"/>
    </row>
    <row r="188" spans="2:8" ht="18.75" customHeight="1" x14ac:dyDescent="0.2">
      <c r="B188" s="114"/>
      <c r="C188" s="114"/>
      <c r="D188" s="115"/>
      <c r="E188" s="116"/>
      <c r="F188" s="99"/>
      <c r="G188" s="99"/>
      <c r="H188" s="117"/>
    </row>
    <row r="189" spans="2:8" ht="18.75" customHeight="1" x14ac:dyDescent="0.2">
      <c r="B189" s="114"/>
      <c r="C189" s="114"/>
      <c r="D189" s="115"/>
      <c r="E189" s="116"/>
      <c r="F189" s="99"/>
      <c r="G189" s="99"/>
      <c r="H189" s="117"/>
    </row>
    <row r="190" spans="2:8" ht="18.75" customHeight="1" x14ac:dyDescent="0.2">
      <c r="B190" s="114"/>
      <c r="C190" s="114"/>
      <c r="D190" s="115"/>
      <c r="E190" s="116"/>
      <c r="F190" s="99"/>
      <c r="G190" s="99"/>
      <c r="H190" s="117"/>
    </row>
    <row r="191" spans="2:8" ht="18.75" customHeight="1" x14ac:dyDescent="0.2">
      <c r="B191" s="114"/>
      <c r="C191" s="114"/>
      <c r="D191" s="115"/>
      <c r="E191" s="116"/>
      <c r="F191" s="99"/>
      <c r="G191" s="99"/>
      <c r="H191" s="117"/>
    </row>
    <row r="192" spans="2:8" ht="18.75" customHeight="1" x14ac:dyDescent="0.2">
      <c r="B192" s="114"/>
      <c r="C192" s="114"/>
      <c r="D192" s="115"/>
      <c r="E192" s="116"/>
      <c r="F192" s="99"/>
      <c r="G192" s="99"/>
      <c r="H192" s="117"/>
    </row>
    <row r="193" spans="2:8" ht="18.75" customHeight="1" x14ac:dyDescent="0.2">
      <c r="B193" s="114"/>
      <c r="C193" s="114"/>
      <c r="D193" s="115"/>
      <c r="E193" s="116"/>
      <c r="F193" s="99"/>
      <c r="G193" s="99"/>
      <c r="H193" s="117"/>
    </row>
    <row r="194" spans="2:8" ht="18.75" customHeight="1" x14ac:dyDescent="0.2">
      <c r="B194" s="114"/>
      <c r="C194" s="114"/>
      <c r="D194" s="115"/>
      <c r="E194" s="116"/>
      <c r="F194" s="99"/>
      <c r="G194" s="99"/>
      <c r="H194" s="117"/>
    </row>
    <row r="195" spans="2:8" ht="18.75" customHeight="1" x14ac:dyDescent="0.2">
      <c r="B195" s="114"/>
      <c r="C195" s="114"/>
      <c r="D195" s="115"/>
      <c r="E195" s="116"/>
      <c r="F195" s="99"/>
      <c r="G195" s="99"/>
      <c r="H195" s="117"/>
    </row>
    <row r="196" spans="2:8" ht="18.75" customHeight="1" x14ac:dyDescent="0.2">
      <c r="B196" s="114"/>
      <c r="C196" s="114"/>
      <c r="D196" s="115"/>
      <c r="E196" s="116"/>
      <c r="F196" s="99"/>
      <c r="G196" s="99"/>
      <c r="H196" s="117"/>
    </row>
    <row r="197" spans="2:8" ht="18.75" customHeight="1" x14ac:dyDescent="0.2">
      <c r="B197" s="114"/>
      <c r="C197" s="114"/>
      <c r="D197" s="115"/>
      <c r="E197" s="116"/>
      <c r="F197" s="99"/>
      <c r="G197" s="99"/>
      <c r="H197" s="117"/>
    </row>
    <row r="198" spans="2:8" ht="18.75" customHeight="1" x14ac:dyDescent="0.2">
      <c r="B198" s="114"/>
      <c r="C198" s="114"/>
      <c r="D198" s="115"/>
      <c r="E198" s="116"/>
      <c r="F198" s="99"/>
      <c r="G198" s="99"/>
      <c r="H198" s="117"/>
    </row>
    <row r="199" spans="2:8" ht="18.75" customHeight="1" x14ac:dyDescent="0.2">
      <c r="B199" s="114"/>
      <c r="C199" s="114"/>
      <c r="D199" s="115"/>
      <c r="E199" s="116"/>
      <c r="F199" s="99"/>
      <c r="G199" s="99"/>
      <c r="H199" s="117"/>
    </row>
    <row r="200" spans="2:8" ht="18.75" customHeight="1" x14ac:dyDescent="0.2">
      <c r="B200" s="114"/>
      <c r="C200" s="114"/>
      <c r="D200" s="115"/>
      <c r="E200" s="116"/>
      <c r="F200" s="99"/>
      <c r="G200" s="99"/>
      <c r="H200" s="117"/>
    </row>
    <row r="201" spans="2:8" ht="18.75" customHeight="1" x14ac:dyDescent="0.2">
      <c r="B201" s="114"/>
      <c r="C201" s="114"/>
      <c r="D201" s="115"/>
      <c r="E201" s="116"/>
      <c r="F201" s="99"/>
      <c r="G201" s="99"/>
      <c r="H201" s="117"/>
    </row>
    <row r="202" spans="2:8" ht="18.75" customHeight="1" x14ac:dyDescent="0.2">
      <c r="B202" s="114"/>
      <c r="C202" s="114"/>
      <c r="D202" s="115"/>
      <c r="E202" s="116"/>
      <c r="F202" s="99"/>
      <c r="G202" s="99"/>
      <c r="H202" s="117"/>
    </row>
    <row r="203" spans="2:8" ht="18.75" customHeight="1" x14ac:dyDescent="0.2">
      <c r="B203" s="114"/>
      <c r="C203" s="114"/>
      <c r="D203" s="115"/>
      <c r="E203" s="116"/>
      <c r="F203" s="99"/>
      <c r="G203" s="99"/>
      <c r="H203" s="117"/>
    </row>
    <row r="204" spans="2:8" ht="18.75" customHeight="1" x14ac:dyDescent="0.2">
      <c r="B204" s="114"/>
      <c r="C204" s="114"/>
      <c r="D204" s="115"/>
      <c r="E204" s="116"/>
      <c r="F204" s="99"/>
      <c r="G204" s="99"/>
      <c r="H204" s="117"/>
    </row>
    <row r="205" spans="2:8" ht="18.75" customHeight="1" x14ac:dyDescent="0.2">
      <c r="B205" s="114"/>
      <c r="C205" s="114"/>
      <c r="D205" s="115"/>
      <c r="E205" s="116"/>
      <c r="F205" s="99"/>
      <c r="G205" s="99"/>
      <c r="H205" s="117"/>
    </row>
    <row r="206" spans="2:8" ht="18.75" customHeight="1" x14ac:dyDescent="0.2">
      <c r="B206" s="114"/>
      <c r="C206" s="114"/>
      <c r="D206" s="115"/>
      <c r="E206" s="116"/>
      <c r="F206" s="99"/>
      <c r="G206" s="99"/>
      <c r="H206" s="117"/>
    </row>
    <row r="207" spans="2:8" ht="18.75" customHeight="1" x14ac:dyDescent="0.2">
      <c r="B207" s="114"/>
      <c r="C207" s="114"/>
      <c r="D207" s="115"/>
      <c r="E207" s="116"/>
      <c r="F207" s="99"/>
      <c r="G207" s="99"/>
      <c r="H207" s="117"/>
    </row>
    <row r="208" spans="2:8" ht="18.75" customHeight="1" x14ac:dyDescent="0.2">
      <c r="B208" s="114"/>
      <c r="C208" s="114"/>
      <c r="D208" s="115"/>
      <c r="E208" s="116"/>
      <c r="F208" s="99"/>
      <c r="G208" s="99"/>
      <c r="H208" s="117"/>
    </row>
    <row r="209" spans="2:8" ht="18.75" customHeight="1" x14ac:dyDescent="0.2">
      <c r="B209" s="114"/>
      <c r="C209" s="114"/>
      <c r="D209" s="115"/>
      <c r="E209" s="116"/>
      <c r="F209" s="99"/>
      <c r="G209" s="99"/>
      <c r="H209" s="117"/>
    </row>
    <row r="210" spans="2:8" ht="18.75" customHeight="1" x14ac:dyDescent="0.2">
      <c r="B210" s="114"/>
      <c r="C210" s="114"/>
      <c r="D210" s="115"/>
      <c r="E210" s="116"/>
      <c r="F210" s="99"/>
      <c r="G210" s="99"/>
      <c r="H210" s="117"/>
    </row>
    <row r="211" spans="2:8" ht="18.75" customHeight="1" x14ac:dyDescent="0.2">
      <c r="B211" s="114"/>
      <c r="C211" s="114"/>
      <c r="D211" s="115"/>
      <c r="E211" s="116"/>
      <c r="F211" s="99"/>
      <c r="G211" s="99"/>
      <c r="H211" s="117"/>
    </row>
    <row r="212" spans="2:8" ht="18.75" customHeight="1" x14ac:dyDescent="0.2">
      <c r="B212" s="114"/>
      <c r="C212" s="114"/>
      <c r="D212" s="115"/>
      <c r="E212" s="116"/>
      <c r="F212" s="99"/>
      <c r="G212" s="99"/>
      <c r="H212" s="117"/>
    </row>
    <row r="213" spans="2:8" ht="18.75" customHeight="1" x14ac:dyDescent="0.2">
      <c r="B213" s="114"/>
      <c r="C213" s="114"/>
      <c r="D213" s="115"/>
      <c r="E213" s="116"/>
      <c r="F213" s="99"/>
      <c r="G213" s="99"/>
      <c r="H213" s="117"/>
    </row>
    <row r="214" spans="2:8" ht="18.75" customHeight="1" x14ac:dyDescent="0.2">
      <c r="B214" s="114"/>
      <c r="C214" s="114"/>
      <c r="D214" s="115"/>
      <c r="E214" s="116"/>
      <c r="F214" s="99"/>
      <c r="G214" s="99"/>
      <c r="H214" s="117"/>
    </row>
    <row r="215" spans="2:8" ht="18.75" customHeight="1" x14ac:dyDescent="0.2">
      <c r="B215" s="114"/>
      <c r="C215" s="114"/>
      <c r="D215" s="115"/>
      <c r="E215" s="116"/>
      <c r="F215" s="99"/>
      <c r="G215" s="99"/>
      <c r="H215" s="117"/>
    </row>
    <row r="216" spans="2:8" ht="18.75" customHeight="1" x14ac:dyDescent="0.2">
      <c r="B216" s="114"/>
      <c r="C216" s="114"/>
      <c r="D216" s="115"/>
      <c r="E216" s="116"/>
      <c r="F216" s="99"/>
      <c r="G216" s="99"/>
      <c r="H216" s="117"/>
    </row>
    <row r="217" spans="2:8" ht="18.75" customHeight="1" x14ac:dyDescent="0.2">
      <c r="B217" s="114"/>
      <c r="C217" s="114"/>
      <c r="D217" s="115"/>
      <c r="E217" s="116"/>
      <c r="F217" s="99"/>
      <c r="G217" s="99"/>
      <c r="H217" s="117"/>
    </row>
    <row r="218" spans="2:8" ht="18.75" customHeight="1" x14ac:dyDescent="0.2">
      <c r="B218" s="114"/>
      <c r="C218" s="114"/>
      <c r="D218" s="115"/>
      <c r="E218" s="116"/>
      <c r="F218" s="99"/>
      <c r="G218" s="99"/>
      <c r="H218" s="117"/>
    </row>
    <row r="219" spans="2:8" ht="18.75" customHeight="1" x14ac:dyDescent="0.2">
      <c r="B219" s="114"/>
      <c r="C219" s="114"/>
      <c r="D219" s="115"/>
      <c r="E219" s="116"/>
      <c r="F219" s="99"/>
      <c r="G219" s="99"/>
      <c r="H219" s="117"/>
    </row>
    <row r="220" spans="2:8" ht="18.75" customHeight="1" x14ac:dyDescent="0.2">
      <c r="B220" s="114"/>
      <c r="C220" s="114"/>
      <c r="D220" s="115"/>
      <c r="E220" s="116"/>
      <c r="F220" s="99"/>
      <c r="G220" s="99"/>
      <c r="H220" s="117"/>
    </row>
    <row r="221" spans="2:8" ht="18.75" customHeight="1" x14ac:dyDescent="0.2">
      <c r="B221" s="114"/>
      <c r="C221" s="114"/>
      <c r="D221" s="115"/>
      <c r="E221" s="116"/>
      <c r="F221" s="99"/>
      <c r="G221" s="99"/>
      <c r="H221" s="117"/>
    </row>
    <row r="222" spans="2:8" ht="18.75" customHeight="1" x14ac:dyDescent="0.2">
      <c r="B222" s="114"/>
      <c r="C222" s="114"/>
      <c r="D222" s="115"/>
      <c r="E222" s="116"/>
      <c r="F222" s="99"/>
      <c r="G222" s="99"/>
      <c r="H222" s="117"/>
    </row>
    <row r="223" spans="2:8" ht="18.75" customHeight="1" x14ac:dyDescent="0.2">
      <c r="B223" s="114"/>
      <c r="C223" s="114"/>
      <c r="D223" s="115"/>
      <c r="E223" s="116"/>
      <c r="F223" s="99"/>
      <c r="G223" s="99"/>
      <c r="H223" s="117"/>
    </row>
    <row r="224" spans="2:8" ht="18.75" customHeight="1" x14ac:dyDescent="0.2">
      <c r="B224" s="114"/>
      <c r="C224" s="114"/>
      <c r="D224" s="115"/>
      <c r="E224" s="116"/>
      <c r="F224" s="99"/>
      <c r="G224" s="99"/>
      <c r="H224" s="117"/>
    </row>
    <row r="225" spans="2:8" ht="18.75" customHeight="1" x14ac:dyDescent="0.2">
      <c r="B225" s="114"/>
      <c r="C225" s="114"/>
      <c r="D225" s="115"/>
      <c r="E225" s="116"/>
      <c r="F225" s="99"/>
      <c r="G225" s="99"/>
      <c r="H225" s="117"/>
    </row>
    <row r="226" spans="2:8" ht="18.75" customHeight="1" x14ac:dyDescent="0.2">
      <c r="B226" s="114"/>
      <c r="C226" s="114"/>
      <c r="D226" s="115"/>
      <c r="E226" s="116"/>
      <c r="F226" s="99"/>
      <c r="G226" s="99"/>
      <c r="H226" s="117"/>
    </row>
    <row r="227" spans="2:8" ht="18.75" customHeight="1" x14ac:dyDescent="0.2">
      <c r="B227" s="114"/>
      <c r="C227" s="114"/>
      <c r="D227" s="115"/>
      <c r="E227" s="116"/>
      <c r="F227" s="99"/>
      <c r="G227" s="99"/>
      <c r="H227" s="117"/>
    </row>
    <row r="228" spans="2:8" ht="18.75" customHeight="1" x14ac:dyDescent="0.2">
      <c r="B228" s="114"/>
      <c r="C228" s="114"/>
      <c r="D228" s="115"/>
      <c r="E228" s="116"/>
      <c r="F228" s="99"/>
      <c r="G228" s="99"/>
      <c r="H228" s="117"/>
    </row>
    <row r="229" spans="2:8" ht="18.75" customHeight="1" x14ac:dyDescent="0.2">
      <c r="B229" s="114"/>
      <c r="C229" s="114"/>
      <c r="D229" s="115"/>
      <c r="E229" s="116"/>
      <c r="F229" s="99"/>
      <c r="G229" s="99"/>
      <c r="H229" s="117"/>
    </row>
    <row r="230" spans="2:8" ht="18.75" customHeight="1" x14ac:dyDescent="0.2">
      <c r="B230" s="114"/>
      <c r="C230" s="114"/>
      <c r="D230" s="115"/>
      <c r="E230" s="116"/>
      <c r="F230" s="99"/>
      <c r="G230" s="99"/>
      <c r="H230" s="117"/>
    </row>
    <row r="231" spans="2:8" ht="18.75" customHeight="1" x14ac:dyDescent="0.2">
      <c r="B231" s="114"/>
      <c r="C231" s="114"/>
      <c r="D231" s="115"/>
      <c r="E231" s="116"/>
      <c r="F231" s="99"/>
      <c r="G231" s="99"/>
      <c r="H231" s="117"/>
    </row>
    <row r="232" spans="2:8" ht="18.75" customHeight="1" x14ac:dyDescent="0.2">
      <c r="B232" s="114"/>
      <c r="C232" s="114"/>
      <c r="D232" s="115"/>
      <c r="E232" s="116"/>
      <c r="F232" s="99"/>
      <c r="G232" s="99"/>
      <c r="H232" s="117"/>
    </row>
    <row r="233" spans="2:8" ht="18.75" customHeight="1" x14ac:dyDescent="0.2">
      <c r="B233" s="114"/>
      <c r="C233" s="114"/>
      <c r="D233" s="115"/>
      <c r="E233" s="116"/>
      <c r="F233" s="99"/>
      <c r="G233" s="99"/>
      <c r="H233" s="117"/>
    </row>
    <row r="234" spans="2:8" ht="18.75" customHeight="1" x14ac:dyDescent="0.2">
      <c r="B234" s="114"/>
      <c r="C234" s="114"/>
      <c r="D234" s="115"/>
      <c r="E234" s="116"/>
      <c r="F234" s="99"/>
      <c r="G234" s="99"/>
      <c r="H234" s="117"/>
    </row>
    <row r="235" spans="2:8" ht="18.75" customHeight="1" x14ac:dyDescent="0.2">
      <c r="B235" s="114"/>
      <c r="C235" s="114"/>
      <c r="D235" s="115"/>
      <c r="E235" s="116"/>
      <c r="F235" s="99"/>
      <c r="G235" s="99"/>
      <c r="H235" s="117"/>
    </row>
    <row r="236" spans="2:8" ht="18.75" customHeight="1" x14ac:dyDescent="0.2">
      <c r="B236" s="114"/>
      <c r="C236" s="114"/>
      <c r="D236" s="115"/>
      <c r="E236" s="116"/>
      <c r="F236" s="99"/>
      <c r="G236" s="99"/>
      <c r="H236" s="117"/>
    </row>
    <row r="237" spans="2:8" ht="18.75" customHeight="1" x14ac:dyDescent="0.2">
      <c r="B237" s="114"/>
      <c r="C237" s="114"/>
      <c r="D237" s="115"/>
      <c r="E237" s="116"/>
      <c r="F237" s="99"/>
      <c r="G237" s="99"/>
      <c r="H237" s="117"/>
    </row>
    <row r="238" spans="2:8" ht="18.75" customHeight="1" x14ac:dyDescent="0.2">
      <c r="B238" s="114"/>
      <c r="C238" s="114"/>
      <c r="D238" s="115"/>
      <c r="E238" s="116"/>
      <c r="F238" s="99"/>
      <c r="G238" s="99"/>
      <c r="H238" s="117"/>
    </row>
    <row r="239" spans="2:8" ht="18.75" customHeight="1" x14ac:dyDescent="0.2">
      <c r="B239" s="114"/>
      <c r="C239" s="114"/>
      <c r="D239" s="115"/>
      <c r="E239" s="116"/>
      <c r="F239" s="99"/>
      <c r="G239" s="99"/>
      <c r="H239" s="117"/>
    </row>
    <row r="240" spans="2:8" ht="18.75" customHeight="1" x14ac:dyDescent="0.2">
      <c r="B240" s="114"/>
      <c r="C240" s="114"/>
      <c r="D240" s="115"/>
      <c r="E240" s="116"/>
      <c r="F240" s="99"/>
      <c r="G240" s="99"/>
      <c r="H240" s="117"/>
    </row>
    <row r="241" spans="2:8" ht="18.75" customHeight="1" x14ac:dyDescent="0.2">
      <c r="B241" s="114"/>
      <c r="C241" s="114"/>
      <c r="D241" s="115"/>
      <c r="E241" s="116"/>
      <c r="F241" s="99"/>
      <c r="G241" s="99"/>
      <c r="H241" s="117"/>
    </row>
    <row r="242" spans="2:8" ht="18.75" customHeight="1" x14ac:dyDescent="0.2">
      <c r="B242" s="114"/>
      <c r="C242" s="114"/>
      <c r="D242" s="115"/>
      <c r="E242" s="116"/>
      <c r="F242" s="99"/>
      <c r="G242" s="99"/>
      <c r="H242" s="117"/>
    </row>
    <row r="243" spans="2:8" ht="18.75" customHeight="1" x14ac:dyDescent="0.2">
      <c r="B243" s="114"/>
      <c r="C243" s="114"/>
      <c r="D243" s="115"/>
      <c r="E243" s="116"/>
      <c r="F243" s="99"/>
      <c r="G243" s="99"/>
      <c r="H243" s="117"/>
    </row>
    <row r="244" spans="2:8" ht="18.75" customHeight="1" x14ac:dyDescent="0.2">
      <c r="B244" s="114"/>
      <c r="C244" s="114"/>
      <c r="D244" s="115"/>
      <c r="E244" s="116"/>
      <c r="F244" s="99"/>
      <c r="G244" s="99"/>
      <c r="H244" s="117"/>
    </row>
    <row r="245" spans="2:8" ht="18.75" customHeight="1" x14ac:dyDescent="0.2">
      <c r="B245" s="114"/>
      <c r="C245" s="114"/>
      <c r="D245" s="115"/>
      <c r="E245" s="116"/>
      <c r="F245" s="99"/>
      <c r="G245" s="99"/>
      <c r="H245" s="117"/>
    </row>
    <row r="246" spans="2:8" ht="18.75" customHeight="1" x14ac:dyDescent="0.2">
      <c r="B246" s="114"/>
      <c r="C246" s="114"/>
      <c r="D246" s="115"/>
      <c r="E246" s="116"/>
      <c r="F246" s="99"/>
      <c r="G246" s="99"/>
      <c r="H246" s="117"/>
    </row>
    <row r="247" spans="2:8" ht="18.75" customHeight="1" x14ac:dyDescent="0.2">
      <c r="B247" s="114"/>
      <c r="C247" s="114"/>
      <c r="D247" s="115"/>
      <c r="E247" s="116"/>
      <c r="F247" s="99"/>
      <c r="G247" s="99"/>
      <c r="H247" s="117"/>
    </row>
    <row r="248" spans="2:8" ht="18.75" customHeight="1" x14ac:dyDescent="0.2">
      <c r="B248" s="114"/>
      <c r="C248" s="114"/>
      <c r="D248" s="115"/>
      <c r="E248" s="116"/>
      <c r="F248" s="99"/>
      <c r="G248" s="99"/>
      <c r="H248" s="117"/>
    </row>
    <row r="249" spans="2:8" ht="18.75" customHeight="1" x14ac:dyDescent="0.2">
      <c r="B249" s="114"/>
      <c r="C249" s="114"/>
      <c r="D249" s="115"/>
      <c r="E249" s="116"/>
      <c r="F249" s="99"/>
      <c r="G249" s="99"/>
      <c r="H249" s="117"/>
    </row>
    <row r="250" spans="2:8" ht="18.75" customHeight="1" x14ac:dyDescent="0.2">
      <c r="B250" s="114"/>
      <c r="C250" s="114"/>
      <c r="D250" s="115"/>
      <c r="E250" s="116"/>
      <c r="F250" s="99"/>
      <c r="G250" s="99"/>
      <c r="H250" s="117"/>
    </row>
    <row r="251" spans="2:8" ht="18.75" customHeight="1" x14ac:dyDescent="0.2">
      <c r="B251" s="114"/>
      <c r="C251" s="114"/>
      <c r="D251" s="115"/>
      <c r="E251" s="116"/>
      <c r="F251" s="99"/>
      <c r="G251" s="99"/>
      <c r="H251" s="117"/>
    </row>
    <row r="252" spans="2:8" ht="18.75" customHeight="1" x14ac:dyDescent="0.2">
      <c r="B252" s="114"/>
      <c r="C252" s="114"/>
      <c r="D252" s="115"/>
      <c r="E252" s="116"/>
      <c r="F252" s="99"/>
      <c r="G252" s="99"/>
      <c r="H252" s="117"/>
    </row>
    <row r="253" spans="2:8" ht="18.75" customHeight="1" x14ac:dyDescent="0.2">
      <c r="B253" s="114"/>
      <c r="C253" s="114"/>
      <c r="D253" s="115"/>
      <c r="E253" s="116"/>
      <c r="F253" s="99"/>
      <c r="G253" s="99"/>
      <c r="H253" s="117"/>
    </row>
    <row r="254" spans="2:8" ht="18.75" customHeight="1" x14ac:dyDescent="0.2">
      <c r="B254" s="114"/>
      <c r="C254" s="114"/>
      <c r="D254" s="115"/>
      <c r="E254" s="116"/>
      <c r="F254" s="99"/>
      <c r="G254" s="99"/>
      <c r="H254" s="117"/>
    </row>
    <row r="255" spans="2:8" ht="18.75" customHeight="1" x14ac:dyDescent="0.2">
      <c r="B255" s="114"/>
      <c r="C255" s="114"/>
      <c r="D255" s="115"/>
      <c r="E255" s="116"/>
      <c r="F255" s="99"/>
      <c r="G255" s="99"/>
      <c r="H255" s="117"/>
    </row>
    <row r="256" spans="2:8" ht="18.75" customHeight="1" x14ac:dyDescent="0.2">
      <c r="B256" s="114"/>
      <c r="C256" s="114"/>
      <c r="D256" s="115"/>
      <c r="E256" s="116"/>
      <c r="F256" s="99"/>
      <c r="G256" s="99"/>
      <c r="H256" s="117"/>
    </row>
    <row r="257" spans="2:8" ht="18.75" customHeight="1" x14ac:dyDescent="0.2">
      <c r="B257" s="114"/>
      <c r="C257" s="114"/>
      <c r="D257" s="115"/>
      <c r="E257" s="116"/>
      <c r="F257" s="99"/>
      <c r="G257" s="99"/>
      <c r="H257" s="117"/>
    </row>
    <row r="258" spans="2:8" ht="18.75" customHeight="1" x14ac:dyDescent="0.2">
      <c r="B258" s="114"/>
      <c r="C258" s="114"/>
      <c r="D258" s="115"/>
      <c r="E258" s="116"/>
      <c r="F258" s="99"/>
      <c r="G258" s="99"/>
      <c r="H258" s="117"/>
    </row>
    <row r="259" spans="2:8" ht="18.75" customHeight="1" x14ac:dyDescent="0.2">
      <c r="B259" s="114"/>
      <c r="C259" s="114"/>
      <c r="D259" s="115"/>
      <c r="E259" s="116"/>
      <c r="F259" s="99"/>
      <c r="G259" s="99"/>
      <c r="H259" s="117"/>
    </row>
    <row r="260" spans="2:8" ht="18.75" customHeight="1" x14ac:dyDescent="0.2">
      <c r="B260" s="114"/>
      <c r="C260" s="114"/>
      <c r="D260" s="115"/>
      <c r="E260" s="116"/>
      <c r="F260" s="99"/>
      <c r="G260" s="99"/>
      <c r="H260" s="117"/>
    </row>
    <row r="261" spans="2:8" ht="18.75" customHeight="1" x14ac:dyDescent="0.2">
      <c r="B261" s="114"/>
      <c r="C261" s="114"/>
      <c r="D261" s="115"/>
      <c r="E261" s="116"/>
      <c r="F261" s="99"/>
      <c r="G261" s="99"/>
      <c r="H261" s="117"/>
    </row>
    <row r="262" spans="2:8" ht="18.75" customHeight="1" x14ac:dyDescent="0.2">
      <c r="B262" s="114"/>
      <c r="C262" s="114"/>
      <c r="D262" s="115"/>
      <c r="E262" s="116"/>
      <c r="F262" s="99"/>
      <c r="G262" s="99"/>
      <c r="H262" s="117"/>
    </row>
    <row r="263" spans="2:8" ht="18.75" customHeight="1" x14ac:dyDescent="0.2">
      <c r="B263" s="114"/>
      <c r="C263" s="114"/>
      <c r="D263" s="115"/>
      <c r="E263" s="116"/>
      <c r="F263" s="99"/>
      <c r="G263" s="99"/>
      <c r="H263" s="117"/>
    </row>
    <row r="264" spans="2:8" ht="18.75" customHeight="1" x14ac:dyDescent="0.2">
      <c r="B264" s="114"/>
      <c r="C264" s="114"/>
      <c r="D264" s="115"/>
      <c r="E264" s="116"/>
      <c r="F264" s="99"/>
      <c r="G264" s="99"/>
      <c r="H264" s="117"/>
    </row>
    <row r="265" spans="2:8" ht="18.75" customHeight="1" x14ac:dyDescent="0.2">
      <c r="B265" s="114"/>
      <c r="C265" s="114"/>
      <c r="D265" s="115"/>
      <c r="E265" s="116"/>
      <c r="F265" s="99"/>
      <c r="G265" s="99"/>
      <c r="H265" s="117"/>
    </row>
    <row r="266" spans="2:8" ht="18.75" customHeight="1" x14ac:dyDescent="0.2">
      <c r="B266" s="114"/>
      <c r="C266" s="114"/>
      <c r="D266" s="115"/>
      <c r="E266" s="116"/>
      <c r="F266" s="99"/>
      <c r="G266" s="99"/>
      <c r="H266" s="117"/>
    </row>
    <row r="267" spans="2:8" ht="18.75" customHeight="1" x14ac:dyDescent="0.2">
      <c r="B267" s="114"/>
      <c r="C267" s="114"/>
      <c r="D267" s="115"/>
      <c r="E267" s="116"/>
      <c r="F267" s="99"/>
      <c r="G267" s="99"/>
      <c r="H267" s="117"/>
    </row>
    <row r="268" spans="2:8" ht="18.75" customHeight="1" x14ac:dyDescent="0.2">
      <c r="B268" s="114"/>
      <c r="C268" s="114"/>
      <c r="D268" s="115"/>
      <c r="E268" s="116"/>
      <c r="F268" s="99"/>
      <c r="G268" s="99"/>
      <c r="H268" s="117"/>
    </row>
    <row r="269" spans="2:8" ht="18.75" customHeight="1" x14ac:dyDescent="0.2">
      <c r="B269" s="114"/>
      <c r="C269" s="114"/>
      <c r="D269" s="115"/>
      <c r="E269" s="116"/>
      <c r="F269" s="99"/>
      <c r="G269" s="99"/>
      <c r="H269" s="117"/>
    </row>
    <row r="270" spans="2:8" ht="18.75" customHeight="1" x14ac:dyDescent="0.2">
      <c r="B270" s="114"/>
      <c r="C270" s="114"/>
      <c r="D270" s="115"/>
      <c r="E270" s="116"/>
      <c r="F270" s="99"/>
      <c r="G270" s="99"/>
      <c r="H270" s="117"/>
    </row>
    <row r="271" spans="2:8" ht="18.75" customHeight="1" x14ac:dyDescent="0.2">
      <c r="B271" s="114"/>
      <c r="C271" s="114"/>
      <c r="D271" s="115"/>
      <c r="E271" s="116"/>
      <c r="F271" s="99"/>
      <c r="G271" s="99"/>
      <c r="H271" s="117"/>
    </row>
    <row r="272" spans="2:8" ht="18.75" customHeight="1" x14ac:dyDescent="0.2">
      <c r="B272" s="114"/>
      <c r="C272" s="114"/>
      <c r="D272" s="115"/>
      <c r="E272" s="116"/>
      <c r="F272" s="99"/>
      <c r="G272" s="99"/>
      <c r="H272" s="117"/>
    </row>
    <row r="273" spans="2:8" ht="18.75" customHeight="1" x14ac:dyDescent="0.2">
      <c r="B273" s="114"/>
      <c r="C273" s="114"/>
      <c r="D273" s="115"/>
      <c r="E273" s="116"/>
      <c r="F273" s="99"/>
      <c r="G273" s="99"/>
      <c r="H273" s="117"/>
    </row>
    <row r="274" spans="2:8" ht="18.75" customHeight="1" x14ac:dyDescent="0.2">
      <c r="B274" s="114"/>
      <c r="C274" s="114"/>
      <c r="D274" s="115"/>
      <c r="E274" s="116"/>
      <c r="F274" s="99"/>
      <c r="G274" s="99"/>
      <c r="H274" s="117"/>
    </row>
    <row r="275" spans="2:8" ht="18.75" customHeight="1" x14ac:dyDescent="0.2">
      <c r="B275" s="114"/>
      <c r="C275" s="114"/>
      <c r="D275" s="115"/>
      <c r="E275" s="116"/>
      <c r="F275" s="99"/>
      <c r="G275" s="99"/>
      <c r="H275" s="117"/>
    </row>
    <row r="276" spans="2:8" ht="18.75" customHeight="1" x14ac:dyDescent="0.2">
      <c r="B276" s="114"/>
      <c r="C276" s="114"/>
      <c r="D276" s="115"/>
      <c r="E276" s="116"/>
      <c r="F276" s="99"/>
      <c r="G276" s="99"/>
      <c r="H276" s="117"/>
    </row>
    <row r="277" spans="2:8" ht="18.75" customHeight="1" x14ac:dyDescent="0.2">
      <c r="B277" s="114"/>
      <c r="C277" s="114"/>
      <c r="D277" s="115"/>
      <c r="E277" s="116"/>
      <c r="F277" s="99"/>
      <c r="G277" s="99"/>
      <c r="H277" s="117"/>
    </row>
    <row r="278" spans="2:8" ht="18.75" customHeight="1" x14ac:dyDescent="0.2">
      <c r="B278" s="114"/>
      <c r="C278" s="114"/>
      <c r="D278" s="115"/>
      <c r="E278" s="116"/>
      <c r="F278" s="99"/>
      <c r="G278" s="99"/>
      <c r="H278" s="117"/>
    </row>
    <row r="279" spans="2:8" ht="18.75" customHeight="1" x14ac:dyDescent="0.2">
      <c r="B279" s="114"/>
      <c r="C279" s="114"/>
      <c r="D279" s="115"/>
      <c r="E279" s="116"/>
      <c r="F279" s="99"/>
      <c r="G279" s="99"/>
      <c r="H279" s="117"/>
    </row>
    <row r="280" spans="2:8" ht="18.75" customHeight="1" x14ac:dyDescent="0.2">
      <c r="B280" s="114"/>
      <c r="C280" s="114"/>
      <c r="D280" s="115"/>
      <c r="E280" s="116"/>
      <c r="F280" s="99"/>
      <c r="G280" s="99"/>
      <c r="H280" s="117"/>
    </row>
    <row r="281" spans="2:8" ht="18.75" customHeight="1" x14ac:dyDescent="0.2">
      <c r="B281" s="114"/>
      <c r="C281" s="114"/>
      <c r="D281" s="115"/>
      <c r="E281" s="116"/>
      <c r="F281" s="99"/>
      <c r="G281" s="99"/>
      <c r="H281" s="117"/>
    </row>
    <row r="282" spans="2:8" ht="18.75" customHeight="1" x14ac:dyDescent="0.2">
      <c r="B282" s="114"/>
      <c r="C282" s="114"/>
      <c r="D282" s="115"/>
      <c r="E282" s="116"/>
      <c r="F282" s="99"/>
      <c r="G282" s="99"/>
      <c r="H282" s="117"/>
    </row>
    <row r="283" spans="2:8" ht="18.75" customHeight="1" x14ac:dyDescent="0.2">
      <c r="B283" s="114"/>
      <c r="C283" s="114"/>
      <c r="D283" s="115"/>
      <c r="E283" s="116"/>
      <c r="F283" s="99"/>
      <c r="G283" s="99"/>
      <c r="H283" s="117"/>
    </row>
    <row r="284" spans="2:8" ht="18.75" customHeight="1" x14ac:dyDescent="0.2">
      <c r="B284" s="114"/>
      <c r="C284" s="114"/>
      <c r="D284" s="115"/>
      <c r="E284" s="116"/>
      <c r="F284" s="99"/>
      <c r="G284" s="99"/>
      <c r="H284" s="117"/>
    </row>
    <row r="285" spans="2:8" ht="18.75" customHeight="1" x14ac:dyDescent="0.2">
      <c r="B285" s="114"/>
      <c r="C285" s="114"/>
      <c r="D285" s="115"/>
      <c r="E285" s="116"/>
      <c r="F285" s="99"/>
      <c r="G285" s="99"/>
      <c r="H285" s="117"/>
    </row>
    <row r="286" spans="2:8" ht="18.75" customHeight="1" x14ac:dyDescent="0.2">
      <c r="B286" s="114"/>
      <c r="C286" s="114"/>
      <c r="D286" s="115"/>
      <c r="E286" s="116"/>
      <c r="F286" s="99"/>
      <c r="G286" s="99"/>
      <c r="H286" s="117"/>
    </row>
    <row r="287" spans="2:8" ht="18.75" customHeight="1" x14ac:dyDescent="0.2">
      <c r="B287" s="114"/>
      <c r="C287" s="114"/>
      <c r="D287" s="115"/>
      <c r="E287" s="116"/>
      <c r="F287" s="99"/>
      <c r="G287" s="99"/>
      <c r="H287" s="117"/>
    </row>
    <row r="288" spans="2:8" ht="18.75" customHeight="1" x14ac:dyDescent="0.2">
      <c r="B288" s="114"/>
      <c r="C288" s="114"/>
      <c r="D288" s="115"/>
      <c r="E288" s="116"/>
      <c r="F288" s="99"/>
      <c r="G288" s="99"/>
      <c r="H288" s="117"/>
    </row>
    <row r="289" spans="2:8" ht="18.75" customHeight="1" x14ac:dyDescent="0.2">
      <c r="B289" s="114"/>
      <c r="C289" s="114"/>
      <c r="D289" s="115"/>
      <c r="E289" s="116"/>
      <c r="F289" s="99"/>
      <c r="G289" s="99"/>
      <c r="H289" s="117"/>
    </row>
    <row r="290" spans="2:8" ht="18.75" customHeight="1" x14ac:dyDescent="0.2">
      <c r="B290" s="114"/>
      <c r="C290" s="114"/>
      <c r="D290" s="115"/>
      <c r="E290" s="116"/>
      <c r="F290" s="99"/>
      <c r="G290" s="99"/>
      <c r="H290" s="117"/>
    </row>
    <row r="291" spans="2:8" ht="18.75" customHeight="1" x14ac:dyDescent="0.2">
      <c r="B291" s="114"/>
      <c r="C291" s="114"/>
      <c r="D291" s="115"/>
      <c r="E291" s="116"/>
      <c r="F291" s="99"/>
      <c r="G291" s="99"/>
      <c r="H291" s="117"/>
    </row>
    <row r="292" spans="2:8" ht="18.75" customHeight="1" x14ac:dyDescent="0.2">
      <c r="B292" s="114"/>
      <c r="C292" s="114"/>
      <c r="D292" s="115"/>
      <c r="E292" s="116"/>
      <c r="F292" s="99"/>
      <c r="G292" s="99"/>
      <c r="H292" s="117"/>
    </row>
    <row r="293" spans="2:8" ht="18.75" customHeight="1" x14ac:dyDescent="0.2">
      <c r="B293" s="114"/>
      <c r="C293" s="114"/>
      <c r="D293" s="115"/>
      <c r="E293" s="116"/>
      <c r="F293" s="99"/>
      <c r="G293" s="99"/>
      <c r="H293" s="117"/>
    </row>
    <row r="294" spans="2:8" ht="18.75" customHeight="1" x14ac:dyDescent="0.2">
      <c r="B294" s="114"/>
      <c r="C294" s="114"/>
      <c r="D294" s="115"/>
      <c r="E294" s="116"/>
      <c r="F294" s="99"/>
      <c r="G294" s="99"/>
      <c r="H294" s="117"/>
    </row>
    <row r="295" spans="2:8" ht="18.75" customHeight="1" x14ac:dyDescent="0.2">
      <c r="B295" s="114"/>
      <c r="C295" s="114"/>
      <c r="D295" s="115"/>
      <c r="E295" s="116"/>
      <c r="F295" s="99"/>
      <c r="G295" s="99"/>
      <c r="H295" s="117"/>
    </row>
    <row r="296" spans="2:8" ht="18.75" customHeight="1" x14ac:dyDescent="0.2">
      <c r="B296" s="114"/>
      <c r="C296" s="114"/>
      <c r="D296" s="115"/>
      <c r="E296" s="116"/>
      <c r="F296" s="99"/>
      <c r="G296" s="99"/>
      <c r="H296" s="117"/>
    </row>
    <row r="297" spans="2:8" ht="18.75" customHeight="1" x14ac:dyDescent="0.2">
      <c r="B297" s="114"/>
      <c r="C297" s="114"/>
      <c r="D297" s="115"/>
      <c r="E297" s="116"/>
      <c r="F297" s="99"/>
      <c r="G297" s="99"/>
      <c r="H297" s="117"/>
    </row>
    <row r="298" spans="2:8" ht="18.75" customHeight="1" x14ac:dyDescent="0.2">
      <c r="B298" s="114"/>
      <c r="C298" s="114"/>
      <c r="D298" s="115"/>
      <c r="E298" s="116"/>
      <c r="F298" s="99"/>
      <c r="G298" s="99"/>
      <c r="H298" s="117"/>
    </row>
    <row r="299" spans="2:8" ht="18.75" customHeight="1" x14ac:dyDescent="0.2">
      <c r="B299" s="114"/>
      <c r="C299" s="114"/>
      <c r="D299" s="115"/>
      <c r="E299" s="116"/>
      <c r="F299" s="99"/>
      <c r="G299" s="99"/>
      <c r="H299" s="117"/>
    </row>
    <row r="300" spans="2:8" ht="18.75" customHeight="1" x14ac:dyDescent="0.2">
      <c r="B300" s="114"/>
      <c r="C300" s="114"/>
      <c r="D300" s="115"/>
      <c r="E300" s="116"/>
      <c r="F300" s="99"/>
      <c r="G300" s="99"/>
      <c r="H300" s="117"/>
    </row>
    <row r="301" spans="2:8" ht="18.75" customHeight="1" x14ac:dyDescent="0.2">
      <c r="B301" s="114"/>
      <c r="C301" s="114"/>
      <c r="D301" s="115"/>
      <c r="E301" s="116"/>
      <c r="F301" s="99"/>
      <c r="G301" s="99"/>
      <c r="H301" s="117"/>
    </row>
    <row r="302" spans="2:8" ht="18.75" customHeight="1" x14ac:dyDescent="0.2">
      <c r="B302" s="114"/>
      <c r="C302" s="114"/>
      <c r="D302" s="115"/>
      <c r="E302" s="116"/>
      <c r="F302" s="99"/>
      <c r="G302" s="99"/>
      <c r="H302" s="117"/>
    </row>
    <row r="303" spans="2:8" ht="18.75" customHeight="1" x14ac:dyDescent="0.2">
      <c r="B303" s="114"/>
      <c r="C303" s="114"/>
      <c r="D303" s="115"/>
      <c r="E303" s="116"/>
      <c r="F303" s="99"/>
      <c r="G303" s="99"/>
      <c r="H303" s="117"/>
    </row>
    <row r="304" spans="2:8" ht="18.75" customHeight="1" x14ac:dyDescent="0.2">
      <c r="B304" s="114"/>
      <c r="C304" s="114"/>
      <c r="D304" s="115"/>
      <c r="E304" s="116"/>
      <c r="F304" s="99"/>
      <c r="G304" s="99"/>
      <c r="H304" s="117"/>
    </row>
    <row r="305" spans="2:8" ht="18.75" customHeight="1" x14ac:dyDescent="0.2">
      <c r="B305" s="114"/>
      <c r="C305" s="114"/>
      <c r="D305" s="115"/>
      <c r="E305" s="116"/>
      <c r="F305" s="99"/>
      <c r="G305" s="99"/>
      <c r="H305" s="117"/>
    </row>
    <row r="306" spans="2:8" ht="18.75" customHeight="1" x14ac:dyDescent="0.2">
      <c r="B306" s="114"/>
      <c r="C306" s="114"/>
      <c r="D306" s="115"/>
      <c r="E306" s="116"/>
      <c r="F306" s="99"/>
      <c r="G306" s="99"/>
      <c r="H306" s="117"/>
    </row>
    <row r="307" spans="2:8" ht="18.75" customHeight="1" x14ac:dyDescent="0.2">
      <c r="B307" s="114"/>
      <c r="C307" s="114"/>
      <c r="D307" s="115"/>
      <c r="E307" s="116"/>
      <c r="F307" s="99"/>
      <c r="G307" s="99"/>
      <c r="H307" s="117"/>
    </row>
    <row r="308" spans="2:8" ht="18.75" customHeight="1" x14ac:dyDescent="0.2">
      <c r="B308" s="114"/>
      <c r="C308" s="114"/>
      <c r="D308" s="115"/>
      <c r="E308" s="116"/>
      <c r="F308" s="99"/>
      <c r="G308" s="99"/>
      <c r="H308" s="117"/>
    </row>
    <row r="309" spans="2:8" ht="18.75" customHeight="1" x14ac:dyDescent="0.2">
      <c r="B309" s="114"/>
      <c r="C309" s="114"/>
      <c r="D309" s="115"/>
      <c r="E309" s="116"/>
      <c r="F309" s="99"/>
      <c r="G309" s="99"/>
      <c r="H309" s="117"/>
    </row>
    <row r="310" spans="2:8" ht="18.75" customHeight="1" x14ac:dyDescent="0.2">
      <c r="B310" s="114"/>
      <c r="C310" s="114"/>
      <c r="D310" s="115"/>
      <c r="E310" s="116"/>
      <c r="F310" s="99"/>
      <c r="G310" s="99"/>
      <c r="H310" s="117"/>
    </row>
    <row r="311" spans="2:8" ht="18.75" customHeight="1" x14ac:dyDescent="0.2">
      <c r="B311" s="114"/>
      <c r="C311" s="114"/>
      <c r="D311" s="115"/>
      <c r="E311" s="116"/>
      <c r="F311" s="99"/>
      <c r="G311" s="99"/>
      <c r="H311" s="117"/>
    </row>
    <row r="312" spans="2:8" ht="18.75" customHeight="1" x14ac:dyDescent="0.2">
      <c r="B312" s="114"/>
      <c r="C312" s="114"/>
      <c r="D312" s="115"/>
      <c r="E312" s="116"/>
      <c r="F312" s="99"/>
      <c r="G312" s="99"/>
      <c r="H312" s="117"/>
    </row>
    <row r="313" spans="2:8" ht="18.75" customHeight="1" x14ac:dyDescent="0.2">
      <c r="B313" s="114"/>
      <c r="C313" s="114"/>
      <c r="D313" s="115"/>
      <c r="E313" s="116"/>
      <c r="F313" s="99"/>
      <c r="G313" s="99"/>
      <c r="H313" s="117"/>
    </row>
    <row r="314" spans="2:8" ht="18.75" customHeight="1" x14ac:dyDescent="0.2">
      <c r="B314" s="114"/>
      <c r="C314" s="114"/>
      <c r="D314" s="115"/>
      <c r="E314" s="116"/>
      <c r="F314" s="99"/>
      <c r="G314" s="99"/>
      <c r="H314" s="117"/>
    </row>
    <row r="315" spans="2:8" ht="18.75" customHeight="1" x14ac:dyDescent="0.2">
      <c r="B315" s="114"/>
      <c r="C315" s="114"/>
      <c r="D315" s="115"/>
      <c r="E315" s="116"/>
      <c r="F315" s="99"/>
      <c r="G315" s="99"/>
      <c r="H315" s="117"/>
    </row>
    <row r="316" spans="2:8" ht="18.75" customHeight="1" x14ac:dyDescent="0.2">
      <c r="B316" s="114"/>
      <c r="C316" s="114"/>
      <c r="D316" s="115"/>
      <c r="E316" s="116"/>
      <c r="F316" s="99"/>
      <c r="G316" s="99"/>
      <c r="H316" s="117"/>
    </row>
    <row r="317" spans="2:8" ht="18.75" customHeight="1" x14ac:dyDescent="0.2">
      <c r="B317" s="114"/>
      <c r="C317" s="114"/>
      <c r="D317" s="115"/>
      <c r="E317" s="116"/>
      <c r="F317" s="99"/>
      <c r="G317" s="99"/>
      <c r="H317" s="117"/>
    </row>
    <row r="318" spans="2:8" ht="18.75" customHeight="1" x14ac:dyDescent="0.2">
      <c r="B318" s="114"/>
      <c r="C318" s="114"/>
      <c r="D318" s="115"/>
      <c r="E318" s="116"/>
      <c r="F318" s="99"/>
      <c r="G318" s="99"/>
      <c r="H318" s="117"/>
    </row>
    <row r="319" spans="2:8" ht="18.75" customHeight="1" x14ac:dyDescent="0.2">
      <c r="B319" s="114"/>
      <c r="C319" s="114"/>
      <c r="D319" s="115"/>
      <c r="E319" s="116"/>
      <c r="F319" s="99"/>
      <c r="G319" s="99"/>
      <c r="H319" s="117"/>
    </row>
    <row r="320" spans="2:8" ht="18.75" customHeight="1" x14ac:dyDescent="0.2">
      <c r="B320" s="114"/>
      <c r="C320" s="114"/>
      <c r="D320" s="115"/>
      <c r="E320" s="116"/>
      <c r="F320" s="99"/>
      <c r="G320" s="99"/>
      <c r="H320" s="117"/>
    </row>
    <row r="321" spans="2:8" ht="18.75" customHeight="1" x14ac:dyDescent="0.2">
      <c r="B321" s="114"/>
      <c r="C321" s="114"/>
      <c r="D321" s="115"/>
      <c r="E321" s="116"/>
      <c r="F321" s="99"/>
      <c r="G321" s="99"/>
      <c r="H321" s="117"/>
    </row>
    <row r="322" spans="2:8" ht="18.75" customHeight="1" x14ac:dyDescent="0.2">
      <c r="B322" s="114"/>
      <c r="C322" s="114"/>
      <c r="D322" s="115"/>
      <c r="E322" s="116"/>
      <c r="F322" s="99"/>
      <c r="G322" s="99"/>
      <c r="H322" s="117"/>
    </row>
    <row r="323" spans="2:8" ht="18.75" customHeight="1" x14ac:dyDescent="0.2">
      <c r="B323" s="114"/>
      <c r="C323" s="114"/>
      <c r="D323" s="115"/>
      <c r="E323" s="116"/>
      <c r="F323" s="99"/>
      <c r="G323" s="99"/>
      <c r="H323" s="117"/>
    </row>
    <row r="324" spans="2:8" ht="18.75" customHeight="1" x14ac:dyDescent="0.2">
      <c r="B324" s="114"/>
      <c r="C324" s="114"/>
      <c r="D324" s="115"/>
      <c r="E324" s="116"/>
      <c r="F324" s="99"/>
      <c r="G324" s="99"/>
      <c r="H324" s="117"/>
    </row>
    <row r="325" spans="2:8" ht="18.75" customHeight="1" x14ac:dyDescent="0.2">
      <c r="B325" s="114"/>
      <c r="C325" s="114"/>
      <c r="D325" s="115"/>
      <c r="E325" s="116"/>
      <c r="F325" s="99"/>
      <c r="G325" s="99"/>
      <c r="H325" s="117"/>
    </row>
    <row r="326" spans="2:8" ht="18.75" customHeight="1" x14ac:dyDescent="0.2">
      <c r="B326" s="114"/>
      <c r="C326" s="114"/>
      <c r="D326" s="115"/>
      <c r="E326" s="116"/>
      <c r="F326" s="99"/>
      <c r="G326" s="99"/>
      <c r="H326" s="117"/>
    </row>
    <row r="327" spans="2:8" ht="18.75" customHeight="1" x14ac:dyDescent="0.2">
      <c r="B327" s="114"/>
      <c r="C327" s="114"/>
      <c r="D327" s="115"/>
      <c r="E327" s="116"/>
      <c r="F327" s="99"/>
      <c r="G327" s="99"/>
      <c r="H327" s="117"/>
    </row>
    <row r="328" spans="2:8" ht="18.75" customHeight="1" x14ac:dyDescent="0.2">
      <c r="B328" s="114"/>
      <c r="C328" s="114"/>
      <c r="D328" s="115"/>
      <c r="E328" s="116"/>
      <c r="F328" s="99"/>
      <c r="G328" s="99"/>
      <c r="H328" s="117"/>
    </row>
    <row r="329" spans="2:8" ht="18.75" customHeight="1" x14ac:dyDescent="0.2">
      <c r="B329" s="114"/>
      <c r="C329" s="114"/>
      <c r="D329" s="115"/>
      <c r="E329" s="116"/>
      <c r="F329" s="99"/>
      <c r="G329" s="99"/>
      <c r="H329" s="117"/>
    </row>
    <row r="330" spans="2:8" ht="18.75" customHeight="1" x14ac:dyDescent="0.2">
      <c r="B330" s="114"/>
      <c r="C330" s="114"/>
      <c r="D330" s="115"/>
      <c r="E330" s="116"/>
      <c r="F330" s="99"/>
      <c r="G330" s="99"/>
      <c r="H330" s="117"/>
    </row>
    <row r="331" spans="2:8" ht="18.75" customHeight="1" x14ac:dyDescent="0.2">
      <c r="B331" s="114"/>
      <c r="C331" s="114"/>
      <c r="D331" s="115"/>
      <c r="E331" s="116"/>
      <c r="F331" s="99"/>
      <c r="G331" s="99"/>
      <c r="H331" s="117"/>
    </row>
    <row r="332" spans="2:8" ht="18.75" customHeight="1" x14ac:dyDescent="0.2">
      <c r="B332" s="114"/>
      <c r="C332" s="114"/>
      <c r="D332" s="115"/>
      <c r="E332" s="116"/>
      <c r="F332" s="99"/>
      <c r="G332" s="99"/>
      <c r="H332" s="117"/>
    </row>
    <row r="333" spans="2:8" ht="18.75" customHeight="1" x14ac:dyDescent="0.2">
      <c r="B333" s="114"/>
      <c r="C333" s="114"/>
      <c r="D333" s="115"/>
      <c r="E333" s="116"/>
      <c r="F333" s="99"/>
      <c r="G333" s="99"/>
      <c r="H333" s="117"/>
    </row>
    <row r="334" spans="2:8" ht="18.75" customHeight="1" x14ac:dyDescent="0.2">
      <c r="B334" s="114"/>
      <c r="C334" s="114"/>
      <c r="D334" s="115"/>
      <c r="E334" s="116"/>
      <c r="F334" s="99"/>
      <c r="G334" s="99"/>
      <c r="H334" s="117"/>
    </row>
    <row r="335" spans="2:8" ht="18.75" customHeight="1" x14ac:dyDescent="0.2">
      <c r="B335" s="114"/>
      <c r="C335" s="114"/>
      <c r="D335" s="115"/>
      <c r="E335" s="116"/>
      <c r="F335" s="99"/>
      <c r="G335" s="99"/>
      <c r="H335" s="117"/>
    </row>
    <row r="336" spans="2:8" ht="18.75" customHeight="1" x14ac:dyDescent="0.2">
      <c r="B336" s="114"/>
      <c r="C336" s="114"/>
      <c r="D336" s="115"/>
      <c r="E336" s="116"/>
      <c r="F336" s="99"/>
      <c r="G336" s="99"/>
      <c r="H336" s="117"/>
    </row>
    <row r="337" spans="2:8" ht="18.75" customHeight="1" x14ac:dyDescent="0.2">
      <c r="B337" s="114"/>
      <c r="C337" s="114"/>
      <c r="D337" s="115"/>
      <c r="E337" s="116"/>
      <c r="F337" s="99"/>
      <c r="G337" s="99"/>
      <c r="H337" s="117"/>
    </row>
    <row r="338" spans="2:8" ht="18.75" customHeight="1" x14ac:dyDescent="0.2">
      <c r="B338" s="114"/>
      <c r="C338" s="114"/>
      <c r="D338" s="115"/>
      <c r="E338" s="116"/>
      <c r="F338" s="99"/>
      <c r="G338" s="99"/>
      <c r="H338" s="117"/>
    </row>
    <row r="339" spans="2:8" ht="18.75" customHeight="1" x14ac:dyDescent="0.2">
      <c r="B339" s="114"/>
      <c r="C339" s="114"/>
      <c r="D339" s="115"/>
      <c r="E339" s="116"/>
      <c r="F339" s="99"/>
      <c r="G339" s="99"/>
      <c r="H339" s="117"/>
    </row>
    <row r="340" spans="2:8" ht="18.75" customHeight="1" x14ac:dyDescent="0.2">
      <c r="B340" s="114"/>
      <c r="C340" s="114"/>
      <c r="D340" s="115"/>
      <c r="E340" s="116"/>
      <c r="F340" s="99"/>
      <c r="G340" s="99"/>
      <c r="H340" s="117"/>
    </row>
    <row r="341" spans="2:8" ht="18.75" customHeight="1" x14ac:dyDescent="0.2">
      <c r="B341" s="114"/>
      <c r="C341" s="114"/>
      <c r="D341" s="115"/>
      <c r="E341" s="116"/>
      <c r="F341" s="99"/>
      <c r="G341" s="99"/>
      <c r="H341" s="117"/>
    </row>
    <row r="342" spans="2:8" ht="18.75" customHeight="1" x14ac:dyDescent="0.2">
      <c r="B342" s="114"/>
      <c r="C342" s="114"/>
      <c r="D342" s="115"/>
      <c r="E342" s="116"/>
      <c r="F342" s="99"/>
      <c r="G342" s="99"/>
      <c r="H342" s="117"/>
    </row>
    <row r="343" spans="2:8" ht="18.75" customHeight="1" x14ac:dyDescent="0.2">
      <c r="B343" s="114"/>
      <c r="C343" s="114"/>
      <c r="D343" s="115"/>
      <c r="E343" s="116"/>
      <c r="F343" s="99"/>
      <c r="G343" s="99"/>
      <c r="H343" s="117"/>
    </row>
    <row r="344" spans="2:8" ht="18.75" customHeight="1" x14ac:dyDescent="0.2">
      <c r="B344" s="114"/>
      <c r="C344" s="114"/>
      <c r="D344" s="115"/>
      <c r="E344" s="116"/>
      <c r="F344" s="99"/>
      <c r="G344" s="99"/>
      <c r="H344" s="117"/>
    </row>
    <row r="345" spans="2:8" ht="18.75" customHeight="1" x14ac:dyDescent="0.2">
      <c r="B345" s="114"/>
      <c r="C345" s="114"/>
      <c r="D345" s="115"/>
      <c r="E345" s="116"/>
      <c r="F345" s="99"/>
      <c r="G345" s="99"/>
      <c r="H345" s="117"/>
    </row>
    <row r="346" spans="2:8" ht="18.75" customHeight="1" x14ac:dyDescent="0.2">
      <c r="B346" s="114"/>
      <c r="C346" s="114"/>
      <c r="D346" s="115"/>
      <c r="E346" s="116"/>
      <c r="F346" s="99"/>
      <c r="G346" s="99"/>
      <c r="H346" s="117"/>
    </row>
    <row r="347" spans="2:8" ht="18.75" customHeight="1" x14ac:dyDescent="0.2">
      <c r="B347" s="114"/>
      <c r="C347" s="114"/>
      <c r="D347" s="115"/>
      <c r="E347" s="116"/>
      <c r="F347" s="99"/>
      <c r="G347" s="99"/>
      <c r="H347" s="117"/>
    </row>
    <row r="348" spans="2:8" ht="18.75" customHeight="1" x14ac:dyDescent="0.2">
      <c r="B348" s="114"/>
      <c r="C348" s="114"/>
      <c r="D348" s="115"/>
      <c r="E348" s="116"/>
      <c r="F348" s="99"/>
      <c r="G348" s="99"/>
      <c r="H348" s="117"/>
    </row>
    <row r="349" spans="2:8" ht="18.75" customHeight="1" x14ac:dyDescent="0.2">
      <c r="B349" s="114"/>
      <c r="C349" s="114"/>
      <c r="D349" s="115"/>
      <c r="E349" s="116"/>
      <c r="F349" s="99"/>
      <c r="G349" s="99"/>
      <c r="H349" s="117"/>
    </row>
    <row r="350" spans="2:8" ht="18.75" customHeight="1" x14ac:dyDescent="0.2">
      <c r="B350" s="114"/>
      <c r="C350" s="114"/>
      <c r="D350" s="115"/>
      <c r="E350" s="116"/>
      <c r="F350" s="99"/>
      <c r="G350" s="99"/>
      <c r="H350" s="117"/>
    </row>
    <row r="351" spans="2:8" ht="18.75" customHeight="1" x14ac:dyDescent="0.2">
      <c r="B351" s="114"/>
      <c r="C351" s="114"/>
      <c r="D351" s="115"/>
      <c r="E351" s="116"/>
      <c r="F351" s="99"/>
      <c r="G351" s="99"/>
      <c r="H351" s="117"/>
    </row>
    <row r="352" spans="2:8" ht="18.75" customHeight="1" x14ac:dyDescent="0.2">
      <c r="B352" s="114"/>
      <c r="C352" s="114"/>
      <c r="D352" s="115"/>
      <c r="E352" s="116"/>
      <c r="F352" s="99"/>
      <c r="G352" s="99"/>
      <c r="H352" s="117"/>
    </row>
    <row r="353" spans="2:8" ht="18.75" customHeight="1" x14ac:dyDescent="0.2">
      <c r="B353" s="114"/>
      <c r="C353" s="114"/>
      <c r="D353" s="115"/>
      <c r="E353" s="116"/>
      <c r="F353" s="99"/>
      <c r="G353" s="99"/>
      <c r="H353" s="117"/>
    </row>
    <row r="354" spans="2:8" ht="18.75" customHeight="1" x14ac:dyDescent="0.2">
      <c r="B354" s="114"/>
      <c r="C354" s="114"/>
      <c r="D354" s="115"/>
      <c r="E354" s="116"/>
      <c r="F354" s="99"/>
      <c r="G354" s="99"/>
      <c r="H354" s="117"/>
    </row>
    <row r="355" spans="2:8" ht="18.75" customHeight="1" x14ac:dyDescent="0.2">
      <c r="B355" s="114"/>
      <c r="C355" s="114"/>
      <c r="D355" s="115"/>
      <c r="E355" s="116"/>
      <c r="F355" s="99"/>
      <c r="G355" s="99"/>
      <c r="H355" s="117"/>
    </row>
    <row r="356" spans="2:8" ht="18.75" customHeight="1" x14ac:dyDescent="0.2">
      <c r="B356" s="114"/>
      <c r="C356" s="114"/>
      <c r="D356" s="115"/>
      <c r="E356" s="116"/>
      <c r="F356" s="99"/>
      <c r="G356" s="99"/>
      <c r="H356" s="117"/>
    </row>
    <row r="357" spans="2:8" ht="18.75" customHeight="1" x14ac:dyDescent="0.2">
      <c r="B357" s="114"/>
      <c r="C357" s="114"/>
      <c r="D357" s="115"/>
      <c r="E357" s="116"/>
      <c r="F357" s="99"/>
      <c r="G357" s="99"/>
      <c r="H357" s="117"/>
    </row>
    <row r="358" spans="2:8" ht="18.75" customHeight="1" x14ac:dyDescent="0.2">
      <c r="B358" s="114"/>
      <c r="C358" s="114"/>
      <c r="D358" s="115"/>
      <c r="E358" s="116"/>
      <c r="F358" s="99"/>
      <c r="G358" s="99"/>
      <c r="H358" s="117"/>
    </row>
    <row r="359" spans="2:8" ht="18.75" customHeight="1" x14ac:dyDescent="0.2">
      <c r="B359" s="114"/>
      <c r="C359" s="114"/>
      <c r="D359" s="115"/>
      <c r="E359" s="116"/>
      <c r="F359" s="99"/>
      <c r="G359" s="99"/>
      <c r="H359" s="117"/>
    </row>
    <row r="360" spans="2:8" ht="18.75" customHeight="1" x14ac:dyDescent="0.2">
      <c r="B360" s="114"/>
      <c r="C360" s="114"/>
      <c r="D360" s="115"/>
      <c r="E360" s="116"/>
      <c r="F360" s="99"/>
      <c r="G360" s="99"/>
      <c r="H360" s="117"/>
    </row>
    <row r="361" spans="2:8" ht="18.75" customHeight="1" x14ac:dyDescent="0.2">
      <c r="B361" s="114"/>
      <c r="C361" s="114"/>
      <c r="D361" s="115"/>
      <c r="E361" s="116"/>
      <c r="F361" s="99"/>
      <c r="G361" s="99"/>
      <c r="H361" s="117"/>
    </row>
    <row r="362" spans="2:8" ht="18.75" customHeight="1" x14ac:dyDescent="0.2">
      <c r="B362" s="114"/>
      <c r="C362" s="114"/>
      <c r="D362" s="115"/>
      <c r="E362" s="116"/>
      <c r="F362" s="99"/>
      <c r="G362" s="99"/>
      <c r="H362" s="117"/>
    </row>
    <row r="363" spans="2:8" ht="18.75" customHeight="1" x14ac:dyDescent="0.2">
      <c r="B363" s="114"/>
      <c r="C363" s="114"/>
      <c r="D363" s="115"/>
      <c r="E363" s="116"/>
      <c r="F363" s="99"/>
      <c r="G363" s="99"/>
      <c r="H363" s="117"/>
    </row>
    <row r="364" spans="2:8" ht="18.75" customHeight="1" x14ac:dyDescent="0.2">
      <c r="B364" s="118"/>
      <c r="C364" s="118"/>
      <c r="D364" s="119"/>
      <c r="E364" s="120"/>
      <c r="F364" s="121"/>
      <c r="G364" s="121"/>
      <c r="H364" s="122"/>
    </row>
  </sheetData>
  <sheetProtection formatCells="0" formatColumns="0" formatRows="0" insertRows="0" deleteRows="0" selectLockedCells="1"/>
  <conditionalFormatting sqref="C4:C364">
    <cfRule type="expression" dxfId="49" priority="14">
      <formula>COUNTIF($C$4:$C$364,C4)&gt;25</formula>
    </cfRule>
  </conditionalFormatting>
  <dataValidations count="1">
    <dataValidation type="list" allowBlank="1" showInputMessage="1" showErrorMessage="1" errorTitle="Invalid Data" error="Please select an Invoice from this list. If your Invoice No. isn't shown, check the worksheet named Invoices - Main." sqref="C4:C364">
      <formula1>Invoice_No</formula1>
    </dataValidation>
  </dataValidations>
  <printOptions horizontalCentered="1"/>
  <pageMargins left="0.25" right="0.25" top="0.75" bottom="0.75" header="0.3" footer="0.3"/>
  <pageSetup fitToHeight="0" orientation="landscape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-0.249977111117893"/>
    <pageSetUpPr autoPageBreaks="0" fitToPage="1"/>
  </sheetPr>
  <dimension ref="A1:M32"/>
  <sheetViews>
    <sheetView showGridLines="0" topLeftCell="A13" zoomScale="110" zoomScaleNormal="110" zoomScalePageLayoutView="30" workbookViewId="0">
      <selection activeCell="L6" sqref="L6"/>
    </sheetView>
  </sheetViews>
  <sheetFormatPr defaultColWidth="9.28515625" defaultRowHeight="12.75" x14ac:dyDescent="0.2"/>
  <cols>
    <col min="1" max="1" width="3.28515625" style="11" customWidth="1"/>
    <col min="2" max="2" width="10.28515625" style="11" customWidth="1"/>
    <col min="3" max="3" width="18.28515625" style="11" customWidth="1"/>
    <col min="4" max="4" width="4.42578125" style="11" customWidth="1"/>
    <col min="5" max="5" width="6.5703125" style="11" customWidth="1"/>
    <col min="6" max="6" width="7.7109375" style="11" customWidth="1"/>
    <col min="7" max="7" width="4.42578125" style="11" customWidth="1"/>
    <col min="8" max="8" width="7.28515625" style="11" customWidth="1"/>
    <col min="9" max="9" width="12" style="11" customWidth="1"/>
    <col min="10" max="10" width="1.140625" style="11" customWidth="1"/>
    <col min="11" max="11" width="16.7109375" style="11" customWidth="1"/>
    <col min="12" max="12" width="16.85546875" style="11" customWidth="1"/>
    <col min="13" max="13" width="3.28515625" style="11" customWidth="1"/>
    <col min="14" max="14" width="9.28515625" style="11"/>
    <col min="15" max="15" width="11.28515625" style="11" customWidth="1"/>
    <col min="16" max="16384" width="9.28515625" style="11"/>
  </cols>
  <sheetData>
    <row r="1" spans="1:13" ht="32.25" customHeight="1" x14ac:dyDescent="0.2">
      <c r="A1" s="10"/>
      <c r="B1" s="193" t="s">
        <v>42</v>
      </c>
      <c r="C1" s="193"/>
      <c r="D1" s="193"/>
      <c r="E1" s="193"/>
      <c r="F1" s="193"/>
      <c r="G1" s="193"/>
      <c r="H1" s="193"/>
      <c r="I1" s="193"/>
      <c r="J1" s="25"/>
      <c r="K1" s="25"/>
      <c r="L1" s="25"/>
      <c r="M1" s="28"/>
    </row>
    <row r="2" spans="1:13" s="10" customFormat="1" ht="6.75" customHeight="1" x14ac:dyDescent="0.2">
      <c r="B2" s="33"/>
      <c r="C2" s="33"/>
      <c r="D2" s="33"/>
      <c r="E2" s="33"/>
      <c r="F2" s="33"/>
      <c r="G2" s="33"/>
      <c r="H2" s="33"/>
      <c r="I2" s="33"/>
      <c r="J2" s="26"/>
      <c r="K2" s="26"/>
      <c r="L2" s="26"/>
      <c r="M2" s="26"/>
    </row>
    <row r="3" spans="1:13" ht="12.75" customHeight="1" x14ac:dyDescent="0.2">
      <c r="B3" s="194" t="s">
        <v>24</v>
      </c>
      <c r="C3" s="194"/>
      <c r="D3" s="34" t="s">
        <v>25</v>
      </c>
      <c r="E3" s="196" t="s">
        <v>26</v>
      </c>
      <c r="F3" s="196"/>
      <c r="G3" s="35"/>
      <c r="H3" s="195" t="s">
        <v>27</v>
      </c>
      <c r="I3" s="195"/>
      <c r="J3" s="27"/>
      <c r="K3" s="27"/>
      <c r="L3" s="27"/>
      <c r="M3" s="27"/>
    </row>
    <row r="4" spans="1:13" ht="6.75" customHeight="1" x14ac:dyDescent="0.2">
      <c r="B4" s="29"/>
      <c r="C4" s="29"/>
      <c r="D4" s="30"/>
      <c r="E4" s="31"/>
      <c r="F4" s="31"/>
      <c r="G4" s="31"/>
      <c r="H4" s="32"/>
      <c r="I4" s="32"/>
      <c r="J4" s="27"/>
      <c r="K4" s="27"/>
      <c r="L4" s="27"/>
      <c r="M4" s="27"/>
    </row>
    <row r="6" spans="1:13" s="51" customFormat="1" ht="18" customHeight="1" x14ac:dyDescent="0.2">
      <c r="B6" s="36" t="s">
        <v>11</v>
      </c>
      <c r="C6" s="198" t="str">
        <f>IFERROR(VLOOKUP(VLOOKUP(rngInvoice,InvoicesMain[],2),CustomerList[],3,TRUE),"")</f>
        <v/>
      </c>
      <c r="D6" s="198"/>
      <c r="E6" s="198"/>
      <c r="F6" s="36" t="s">
        <v>13</v>
      </c>
      <c r="G6" s="198" t="str">
        <f>IFERROR(VLOOKUP(VLOOKUP(rngInvoice,InvoicesMain[],2),CustomerList[],9,FALSE),"")</f>
        <v/>
      </c>
      <c r="H6" s="198"/>
      <c r="I6" s="198"/>
      <c r="J6" s="52"/>
      <c r="K6" s="36" t="s">
        <v>37</v>
      </c>
      <c r="L6" s="50">
        <v>500</v>
      </c>
    </row>
    <row r="7" spans="1:13" s="51" customFormat="1" ht="18" customHeight="1" x14ac:dyDescent="0.2">
      <c r="B7" s="36" t="s">
        <v>12</v>
      </c>
      <c r="C7" s="198" t="str">
        <f>IFERROR(VLOOKUP(VLOOKUP(rngInvoice,InvoicesMain[],2),CustomerList[],5,FALSE),"")</f>
        <v/>
      </c>
      <c r="D7" s="198"/>
      <c r="E7" s="198"/>
      <c r="F7" s="36" t="s">
        <v>73</v>
      </c>
      <c r="G7" s="198" t="str">
        <f>IFERROR(VLOOKUP(VLOOKUP(rngInvoice,InvoicesMain[],2),CustomerList[],11,FALSE),"")</f>
        <v/>
      </c>
      <c r="H7" s="198"/>
      <c r="I7" s="198"/>
      <c r="J7" s="53"/>
      <c r="K7" s="36" t="s">
        <v>14</v>
      </c>
      <c r="L7" s="54">
        <f>IFERROR(VLOOKUP(rngInvoice,InvoicesMain[],3,FALSE),"")</f>
        <v>43393</v>
      </c>
    </row>
    <row r="8" spans="1:13" s="51" customFormat="1" ht="18" customHeight="1" x14ac:dyDescent="0.2">
      <c r="B8" s="52"/>
      <c r="C8" s="198" t="str">
        <f>IFERROR(VLOOKUP(VLOOKUP(rngInvoice,InvoicesMain[],2),CustomerList[],6,FALSE)&amp;" "&amp; VLOOKUP(VLOOKUP(L6,InvoicesMain[],2,FALSE),CustomerList[],7,FALSE)&amp;", "&amp;VLOOKUP(VLOOKUP(L6,InvoicesMain[],2,FALSE),CustomerList[],8,FALSE),"")</f>
        <v/>
      </c>
      <c r="D8" s="198"/>
      <c r="E8" s="198"/>
      <c r="F8" s="36" t="s">
        <v>43</v>
      </c>
      <c r="G8" s="198" t="str">
        <f>IFERROR(VLOOKUP(VLOOKUP(rngInvoice,InvoicesMain[],2),CustomerList[],10,FALSE),"")</f>
        <v/>
      </c>
      <c r="H8" s="198"/>
      <c r="I8" s="198"/>
      <c r="J8" s="52"/>
      <c r="K8" s="55"/>
      <c r="L8" s="55"/>
    </row>
    <row r="9" spans="1:13" s="12" customFormat="1" ht="23.25" customHeight="1" x14ac:dyDescent="0.2">
      <c r="B9" s="37" t="s">
        <v>31</v>
      </c>
      <c r="C9" s="38" t="s">
        <v>7</v>
      </c>
      <c r="D9" s="39"/>
      <c r="E9" s="39"/>
      <c r="F9" s="39"/>
      <c r="G9" s="39"/>
      <c r="H9" s="39" t="s">
        <v>20</v>
      </c>
      <c r="I9" s="197" t="s">
        <v>23</v>
      </c>
      <c r="J9" s="197"/>
      <c r="K9" s="39" t="s">
        <v>22</v>
      </c>
      <c r="L9" s="40" t="s">
        <v>21</v>
      </c>
    </row>
    <row r="10" spans="1:13" s="12" customFormat="1" ht="16.5" customHeight="1" x14ac:dyDescent="0.2">
      <c r="B10" s="41" t="str">
        <f>IFERROR(INDEX(InvoiceDetails[],SMALL(IF(InvoiceDetails[Invoice '#]=rngInvoice,ROW(InvoiceDetails[])-ROW(InvoiceDetails[#Headers])), ROW(1:1)), MATCH($B$9, InvoiceDetails[#Headers], 0)),"")</f>
        <v>AGS-BAT-12V</v>
      </c>
      <c r="C10" s="182" t="str">
        <f t="array" ref="C10">IFERROR(INDEX(InvoiceDetails[],SMALL(IF(InvoiceDetails[Invoice '#]=rngInvoice,ROW(InvoiceDetails[])-ROW(InvoiceDetails[#Headers])), ROW(2:2)), MATCH($C$9, InvoiceDetails[#Headers], 0)),"")</f>
        <v>Desc 5</v>
      </c>
      <c r="D10" s="182"/>
      <c r="E10" s="182"/>
      <c r="F10" s="182"/>
      <c r="G10" s="182"/>
      <c r="H10" s="42">
        <f>IFERROR(INDEX(InvoiceDetails[],SMALL(IF(InvoiceDetails[Invoice '#]=rngInvoice,ROW(InvoiceDetails[])-ROW(InvoiceDetails[#Headers])), ROW(1:1)), MATCH($H$9, InvoiceDetails[#Headers], 0)),"")</f>
        <v>120</v>
      </c>
      <c r="I10" s="181">
        <f t="array" ref="I10">IFERROR(INDEX(InvoiceDetails[],SMALL(IF(InvoiceDetails[Invoice '#]=rngInvoice,ROW(InvoiceDetails[])-ROW(InvoiceDetails[#Headers])), ROW(1:1)), MATCH($I$9, InvoiceDetails[#Headers], 0)),"")</f>
        <v>93</v>
      </c>
      <c r="J10" s="181"/>
      <c r="K10" s="43">
        <f t="array" ref="K10">IFERROR(INDEX(InvoiceDetails[],SMALL(IF(InvoiceDetails[Invoice '#]=rngInvoice,ROW(InvoiceDetails[])-ROW(InvoiceDetails[#Headers])), ROW(1:1)), MATCH($K$9, InvoiceDetails[#Headers], 0)),"")</f>
        <v>2</v>
      </c>
      <c r="L10" s="44">
        <f>IFERROR((H10*I10)-K10,"")</f>
        <v>11158</v>
      </c>
    </row>
    <row r="11" spans="1:13" s="12" customFormat="1" ht="16.5" customHeight="1" x14ac:dyDescent="0.2">
      <c r="B11" s="41">
        <f>IFERROR(INDEX(InvoiceDetails[],SMALL(IF(InvoiceDetails[Invoice '#]=rngInvoice,ROW(InvoiceDetails[])-ROW(InvoiceDetails[#Headers])), ROW(1:1)), MATCH($B$9, InvoiceDetails[#Headers], 0)),"")</f>
        <v>0</v>
      </c>
      <c r="C11" s="182" t="str">
        <f t="array" ref="C11">IFERROR(INDEX(InvoiceDetails[],SMALL(IF(InvoiceDetails[Invoice '#]=rngInvoice,ROW(InvoiceDetails[])-ROW(InvoiceDetails[#Headers])), ROW(3:3)), MATCH($C$9, InvoiceDetails[#Headers], 0)),"")</f>
        <v/>
      </c>
      <c r="D11" s="182"/>
      <c r="E11" s="182"/>
      <c r="F11" s="182"/>
      <c r="G11" s="182"/>
      <c r="H11" s="42" t="str">
        <f>IFERROR(INDEX(InvoiceDetails[],SMALL(IF(InvoiceDetails[Invoice '#]=rngInvoice,ROW(InvoiceDetails[])-ROW(InvoiceDetails[#Headers])), ROW(2:2)), MATCH($H$9, InvoiceDetails[#Headers], 0)),"")</f>
        <v/>
      </c>
      <c r="I11" s="181">
        <f t="array" ref="I11">IFERROR(INDEX(InvoiceDetails[],SMALL(IF(InvoiceDetails[Invoice '#]=rngInvoice,ROW(InvoiceDetails[])-ROW(InvoiceDetails[#Headers])), ROW(2:2)), MATCH($I$9, InvoiceDetails[#Headers], 0)),"")</f>
        <v>75</v>
      </c>
      <c r="J11" s="181"/>
      <c r="K11" s="43">
        <f t="array" ref="K11">IFERROR(INDEX(InvoiceDetails[],SMALL(IF(InvoiceDetails[Invoice '#]=rngInvoice,ROW(InvoiceDetails[])-ROW(InvoiceDetails[#Headers])), ROW(2:2)), MATCH($K$9, InvoiceDetails[#Headers], 0)),"")</f>
        <v>3</v>
      </c>
      <c r="L11" s="46" t="str">
        <f t="shared" ref="L11:L21" si="0">IFERROR((H11*I11)-K11,"")</f>
        <v/>
      </c>
    </row>
    <row r="12" spans="1:13" s="12" customFormat="1" ht="16.5" customHeight="1" x14ac:dyDescent="0.2">
      <c r="B12" s="41">
        <f>IFERROR(INDEX(InvoiceDetails[],SMALL(IF(InvoiceDetails[Invoice '#]=rngInvoice,ROW(InvoiceDetails[])-ROW(InvoiceDetails[#Headers])), ROW(1:1)), MATCH($B$9, InvoiceDetails[#Headers], 0)),"")</f>
        <v>0</v>
      </c>
      <c r="C12" s="182" t="str">
        <f t="array" ref="C12">IFERROR(INDEX(InvoiceDetails[],SMALL(IF(InvoiceDetails[Invoice '#]=rngInvoice,ROW(InvoiceDetails[])-ROW(InvoiceDetails[#Headers])), ROW(4:4)), MATCH($C$9, InvoiceDetails[#Headers], 0)),"")</f>
        <v/>
      </c>
      <c r="D12" s="182"/>
      <c r="E12" s="182"/>
      <c r="F12" s="182"/>
      <c r="G12" s="182"/>
      <c r="H12" s="42" t="str">
        <f>IFERROR(INDEX(InvoiceDetails[],SMALL(IF(InvoiceDetails[Invoice '#]=rngInvoice,ROW(InvoiceDetails[])-ROW(InvoiceDetails[#Headers])), ROW(3:3)), MATCH($H$9, InvoiceDetails[#Headers], 0)),"")</f>
        <v/>
      </c>
      <c r="I12" s="181" t="str">
        <f t="array" ref="I12">IFERROR(INDEX(InvoiceDetails[],SMALL(IF(InvoiceDetails[Invoice '#]=rngInvoice,ROW(InvoiceDetails[])-ROW(InvoiceDetails[#Headers])), ROW(3:3)), MATCH($I$9, InvoiceDetails[#Headers], 0)),"")</f>
        <v/>
      </c>
      <c r="J12" s="181"/>
      <c r="K12" s="43" t="str">
        <f t="array" ref="K12">IFERROR(INDEX(InvoiceDetails[],SMALL(IF(InvoiceDetails[Invoice '#]=rngInvoice,ROW(InvoiceDetails[])-ROW(InvoiceDetails[#Headers])), ROW(3:3)), MATCH($K$9, InvoiceDetails[#Headers], 0)),"")</f>
        <v/>
      </c>
      <c r="L12" s="46" t="str">
        <f t="shared" si="0"/>
        <v/>
      </c>
    </row>
    <row r="13" spans="1:13" s="12" customFormat="1" ht="16.5" customHeight="1" x14ac:dyDescent="0.2">
      <c r="B13" s="41">
        <f>IFERROR(INDEX(InvoiceDetails[],SMALL(IF(InvoiceDetails[Invoice '#]=rngInvoice,ROW(InvoiceDetails[])-ROW(InvoiceDetails[#Headers])), ROW(1:1)), MATCH($B$9, InvoiceDetails[#Headers], 0)),"")</f>
        <v>0</v>
      </c>
      <c r="C13" s="182" t="str">
        <f t="array" ref="C13">IFERROR(INDEX(InvoiceDetails[],SMALL(IF(InvoiceDetails[Invoice '#]=rngInvoice,ROW(InvoiceDetails[])-ROW(InvoiceDetails[#Headers])), ROW(5:5)), MATCH($C$9, InvoiceDetails[#Headers], 0)),"")</f>
        <v/>
      </c>
      <c r="D13" s="182"/>
      <c r="E13" s="182"/>
      <c r="F13" s="182"/>
      <c r="G13" s="182"/>
      <c r="H13" s="42" t="str">
        <f>IFERROR(INDEX(InvoiceDetails[],SMALL(IF(InvoiceDetails[Invoice '#]=rngInvoice,ROW(InvoiceDetails[])-ROW(InvoiceDetails[#Headers])), ROW(4:4)), MATCH($H$9, InvoiceDetails[#Headers], 0)),"")</f>
        <v/>
      </c>
      <c r="I13" s="181" t="str">
        <f t="array" ref="I13">IFERROR(INDEX(InvoiceDetails[],SMALL(IF(InvoiceDetails[Invoice '#]=rngInvoice,ROW(InvoiceDetails[])-ROW(InvoiceDetails[#Headers])), ROW(4:4)), MATCH($I$9, InvoiceDetails[#Headers], 0)),"")</f>
        <v/>
      </c>
      <c r="J13" s="181"/>
      <c r="K13" s="43" t="str">
        <f t="array" ref="K13">IFERROR(INDEX(InvoiceDetails[],SMALL(IF(InvoiceDetails[Invoice '#]=rngInvoice,ROW(InvoiceDetails[])-ROW(InvoiceDetails[#Headers])), ROW(4:4)), MATCH($K$9, InvoiceDetails[#Headers], 0)),"")</f>
        <v/>
      </c>
      <c r="L13" s="46" t="str">
        <f t="shared" si="0"/>
        <v/>
      </c>
    </row>
    <row r="14" spans="1:13" s="12" customFormat="1" ht="16.5" customHeight="1" x14ac:dyDescent="0.2">
      <c r="B14" s="41">
        <f>IFERROR(INDEX(InvoiceDetails[],SMALL(IF(InvoiceDetails[Invoice '#]=rngInvoice,ROW(InvoiceDetails[])-ROW(InvoiceDetails[#Headers])), ROW(1:1)), MATCH($B$9, InvoiceDetails[#Headers], 0)),"")</f>
        <v>0</v>
      </c>
      <c r="C14" s="182" t="str">
        <f t="array" ref="C14">IFERROR(INDEX(InvoiceDetails[],SMALL(IF(InvoiceDetails[Invoice '#]=rngInvoice,ROW(InvoiceDetails[])-ROW(InvoiceDetails[#Headers])), ROW(6:6)), MATCH($C$9, InvoiceDetails[#Headers], 0)),"")</f>
        <v/>
      </c>
      <c r="D14" s="182"/>
      <c r="E14" s="182"/>
      <c r="F14" s="182"/>
      <c r="G14" s="182"/>
      <c r="H14" s="42" t="str">
        <f>IFERROR(INDEX(InvoiceDetails[],SMALL(IF(InvoiceDetails[Invoice '#]=rngInvoice,ROW(InvoiceDetails[])-ROW(InvoiceDetails[#Headers])), ROW(5:5)), MATCH($H$9, InvoiceDetails[#Headers], 0)),"")</f>
        <v/>
      </c>
      <c r="I14" s="181" t="str">
        <f t="array" ref="I14">IFERROR(INDEX(InvoiceDetails[],SMALL(IF(InvoiceDetails[Invoice '#]=rngInvoice,ROW(InvoiceDetails[])-ROW(InvoiceDetails[#Headers])), ROW(5:5)), MATCH($I$9, InvoiceDetails[#Headers], 0)),"")</f>
        <v/>
      </c>
      <c r="J14" s="181"/>
      <c r="K14" s="43" t="str">
        <f t="array" ref="K14">IFERROR(INDEX(InvoiceDetails[],SMALL(IF(InvoiceDetails[Invoice '#]=rngInvoice,ROW(InvoiceDetails[])-ROW(InvoiceDetails[#Headers])), ROW(5:5)), MATCH($K$9, InvoiceDetails[#Headers], 0)),"")</f>
        <v/>
      </c>
      <c r="L14" s="46" t="str">
        <f t="shared" si="0"/>
        <v/>
      </c>
    </row>
    <row r="15" spans="1:13" s="12" customFormat="1" ht="16.5" customHeight="1" x14ac:dyDescent="0.2">
      <c r="B15" s="41">
        <f>IFERROR(INDEX(InvoiceDetails[],SMALL(IF(InvoiceDetails[Invoice '#]=rngInvoice,ROW(InvoiceDetails[])-ROW(InvoiceDetails[#Headers])), ROW(1:1)), MATCH($B$9, InvoiceDetails[#Headers], 0)),"")</f>
        <v>0</v>
      </c>
      <c r="C15" s="182" t="str">
        <f t="array" ref="C15">IFERROR(INDEX(InvoiceDetails[],SMALL(IF(InvoiceDetails[Invoice '#]=rngInvoice,ROW(InvoiceDetails[])-ROW(InvoiceDetails[#Headers])), ROW(7:7)), MATCH($C$9, InvoiceDetails[#Headers], 0)),"")</f>
        <v/>
      </c>
      <c r="D15" s="182"/>
      <c r="E15" s="182"/>
      <c r="F15" s="182"/>
      <c r="G15" s="182"/>
      <c r="H15" s="42" t="str">
        <f>IFERROR(INDEX(InvoiceDetails[],SMALL(IF(InvoiceDetails[Invoice '#]=rngInvoice,ROW(InvoiceDetails[])-ROW(InvoiceDetails[#Headers])), ROW(6:6)), MATCH($H$9, InvoiceDetails[#Headers], 0)),"")</f>
        <v/>
      </c>
      <c r="I15" s="181" t="str">
        <f t="array" ref="I15">IFERROR(INDEX(InvoiceDetails[],SMALL(IF(InvoiceDetails[Invoice '#]=rngInvoice,ROW(InvoiceDetails[])-ROW(InvoiceDetails[#Headers])), ROW(6:6)), MATCH($I$9, InvoiceDetails[#Headers], 0)),"")</f>
        <v/>
      </c>
      <c r="J15" s="181"/>
      <c r="K15" s="43" t="str">
        <f t="array" ref="K15">IFERROR(INDEX(InvoiceDetails[],SMALL(IF(InvoiceDetails[Invoice '#]=rngInvoice,ROW(InvoiceDetails[])-ROW(InvoiceDetails[#Headers])), ROW(6:6)), MATCH($K$9, InvoiceDetails[#Headers], 0)),"")</f>
        <v/>
      </c>
      <c r="L15" s="46" t="str">
        <f t="shared" si="0"/>
        <v/>
      </c>
    </row>
    <row r="16" spans="1:13" s="12" customFormat="1" ht="16.5" customHeight="1" x14ac:dyDescent="0.2">
      <c r="B16" s="41">
        <f>IFERROR(INDEX(InvoiceDetails[],SMALL(IF(InvoiceDetails[Invoice '#]=rngInvoice,ROW(InvoiceDetails[])-ROW(InvoiceDetails[#Headers])), ROW(1:1)), MATCH($B$9, InvoiceDetails[#Headers], 0)),"")</f>
        <v>0</v>
      </c>
      <c r="C16" s="182" t="str">
        <f t="array" ref="C16">IFERROR(INDEX(InvoiceDetails[],SMALL(IF(InvoiceDetails[Invoice '#]=rngInvoice,ROW(InvoiceDetails[])-ROW(InvoiceDetails[#Headers])), ROW(7:7)), MATCH($C$9, InvoiceDetails[#Headers], 0)),"")</f>
        <v/>
      </c>
      <c r="D16" s="182"/>
      <c r="E16" s="182"/>
      <c r="F16" s="182"/>
      <c r="G16" s="182"/>
      <c r="H16" s="42" t="str">
        <f t="array" ref="H16">IFERROR(INDEX(InvoiceDetails[],SMALL(IF(InvoiceDetails[Invoice '#]=rngInvoice,ROW(InvoiceDetails[])-ROW(InvoiceDetails[#Headers])), ROW(7:7)), MATCH($H$9, InvoiceDetails[#Headers], 0)),"")</f>
        <v/>
      </c>
      <c r="I16" s="181" t="str">
        <f t="array" ref="I16">IFERROR(INDEX(InvoiceDetails[],SMALL(IF(InvoiceDetails[Invoice '#]=rngInvoice,ROW(InvoiceDetails[])-ROW(InvoiceDetails[#Headers])), ROW(7:7)), MATCH($I$9, InvoiceDetails[#Headers], 0)),"")</f>
        <v/>
      </c>
      <c r="J16" s="181"/>
      <c r="K16" s="43" t="str">
        <f t="array" ref="K16">IFERROR(INDEX(InvoiceDetails[],SMALL(IF(InvoiceDetails[Invoice '#]=rngInvoice,ROW(InvoiceDetails[])-ROW(InvoiceDetails[#Headers])), ROW(7:7)), MATCH($K$9, InvoiceDetails[#Headers], 0)),"")</f>
        <v/>
      </c>
      <c r="L16" s="46" t="str">
        <f t="shared" si="0"/>
        <v/>
      </c>
    </row>
    <row r="17" spans="2:12" s="12" customFormat="1" ht="16.5" customHeight="1" x14ac:dyDescent="0.2">
      <c r="B17" s="41">
        <f>IFERROR(INDEX(InvoiceDetails[],SMALL(IF(InvoiceDetails[Invoice '#]=rngInvoice,ROW(InvoiceDetails[])-ROW(InvoiceDetails[#Headers])), ROW(1:1)), MATCH($B$9, InvoiceDetails[#Headers], 0)),"")</f>
        <v>0</v>
      </c>
      <c r="C17" s="182" t="str">
        <f t="array" ref="C17">IFERROR(INDEX(InvoiceDetails[],SMALL(IF(InvoiceDetails[Invoice '#]=rngInvoice,ROW(InvoiceDetails[])-ROW(InvoiceDetails[#Headers])), ROW(8:8)), MATCH($C$9, InvoiceDetails[#Headers], 0)),"")</f>
        <v/>
      </c>
      <c r="D17" s="182"/>
      <c r="E17" s="182"/>
      <c r="F17" s="182"/>
      <c r="G17" s="182"/>
      <c r="H17" s="42" t="str">
        <f t="array" ref="H17">IFERROR(INDEX(InvoiceDetails[],SMALL(IF(InvoiceDetails[Invoice '#]=rngInvoice,ROW(InvoiceDetails[])-ROW(InvoiceDetails[#Headers])), ROW(8:8)), MATCH($H$9, InvoiceDetails[#Headers], 0)),"")</f>
        <v/>
      </c>
      <c r="I17" s="181" t="str">
        <f t="array" ref="I17">IFERROR(INDEX(InvoiceDetails[],SMALL(IF(InvoiceDetails[Invoice '#]=rngInvoice,ROW(InvoiceDetails[])-ROW(InvoiceDetails[#Headers])), ROW(8:8)), MATCH($I$9, InvoiceDetails[#Headers], 0)),"")</f>
        <v/>
      </c>
      <c r="J17" s="181"/>
      <c r="K17" s="43" t="str">
        <f t="array" ref="K17">IFERROR(INDEX(InvoiceDetails[],SMALL(IF(InvoiceDetails[Invoice '#]=rngInvoice,ROW(InvoiceDetails[])-ROW(InvoiceDetails[#Headers])), ROW(8:8)), MATCH($K$9, InvoiceDetails[#Headers], 0)),"")</f>
        <v/>
      </c>
      <c r="L17" s="46" t="str">
        <f t="shared" si="0"/>
        <v/>
      </c>
    </row>
    <row r="18" spans="2:12" s="12" customFormat="1" ht="16.5" customHeight="1" x14ac:dyDescent="0.2">
      <c r="B18" s="41">
        <f>IFERROR(INDEX(InvoiceDetails[],SMALL(IF(InvoiceDetails[Invoice '#]=rngInvoice,ROW(InvoiceDetails[])-ROW(InvoiceDetails[#Headers])), ROW(1:1)), MATCH($B$9, InvoiceDetails[#Headers], 0)),"")</f>
        <v>0</v>
      </c>
      <c r="C18" s="182" t="str">
        <f t="array" ref="C18">IFERROR(INDEX(InvoiceDetails[],SMALL(IF(InvoiceDetails[Invoice '#]=rngInvoice,ROW(InvoiceDetails[])-ROW(InvoiceDetails[#Headers])), ROW(9:9)), MATCH($C$9, InvoiceDetails[#Headers], 0)),"")</f>
        <v/>
      </c>
      <c r="D18" s="182"/>
      <c r="E18" s="182"/>
      <c r="F18" s="182"/>
      <c r="G18" s="182"/>
      <c r="H18" s="42" t="str">
        <f t="array" ref="H18">IFERROR(INDEX(InvoiceDetails[],SMALL(IF(InvoiceDetails[Invoice '#]=rngInvoice,ROW(InvoiceDetails[])-ROW(InvoiceDetails[#Headers])), ROW(9:9)), MATCH($H$9, InvoiceDetails[#Headers], 0)),"")</f>
        <v/>
      </c>
      <c r="I18" s="181" t="str">
        <f t="array" ref="I18">IFERROR(INDEX(InvoiceDetails[],SMALL(IF(InvoiceDetails[Invoice '#]=rngInvoice,ROW(InvoiceDetails[])-ROW(InvoiceDetails[#Headers])), ROW(9:9)), MATCH($I$9, InvoiceDetails[#Headers], 0)),"")</f>
        <v/>
      </c>
      <c r="J18" s="181"/>
      <c r="K18" s="43" t="str">
        <f t="array" ref="K18">IFERROR(INDEX(InvoiceDetails[],SMALL(IF(InvoiceDetails[Invoice '#]=rngInvoice,ROW(InvoiceDetails[])-ROW(InvoiceDetails[#Headers])), ROW(9:9)), MATCH($K$9, InvoiceDetails[#Headers], 0)),"")</f>
        <v/>
      </c>
      <c r="L18" s="46" t="str">
        <f t="shared" si="0"/>
        <v/>
      </c>
    </row>
    <row r="19" spans="2:12" s="12" customFormat="1" ht="16.5" customHeight="1" x14ac:dyDescent="0.2">
      <c r="B19" s="41">
        <f>IFERROR(INDEX(InvoiceDetails[],SMALL(IF(InvoiceDetails[Invoice '#]=rngInvoice,ROW(InvoiceDetails[])-ROW(InvoiceDetails[#Headers])), ROW(1:1)), MATCH($B$9, InvoiceDetails[#Headers], 0)),"")</f>
        <v>0</v>
      </c>
      <c r="C19" s="182" t="str">
        <f t="array" ref="C19">IFERROR(INDEX(InvoiceDetails[],SMALL(IF(InvoiceDetails[Invoice '#]=rngInvoice,ROW(InvoiceDetails[])-ROW(InvoiceDetails[#Headers])), ROW(8:8)), MATCH($C$9, InvoiceDetails[#Headers], 0)),"")</f>
        <v/>
      </c>
      <c r="D19" s="182"/>
      <c r="E19" s="182"/>
      <c r="F19" s="182"/>
      <c r="G19" s="182"/>
      <c r="H19" s="42" t="str">
        <f t="array" ref="H19">IFERROR(INDEX(InvoiceDetails[],SMALL(IF(InvoiceDetails[Invoice '#]=rngInvoice,ROW(InvoiceDetails[])-ROW(InvoiceDetails[#Headers])), ROW(8:8)), MATCH($H$9, InvoiceDetails[#Headers], 0)),"")</f>
        <v/>
      </c>
      <c r="I19" s="181" t="str">
        <f t="array" ref="I19">IFERROR(INDEX(InvoiceDetails[],SMALL(IF(InvoiceDetails[Invoice '#]=rngInvoice,ROW(InvoiceDetails[])-ROW(InvoiceDetails[#Headers])), ROW(10:10)), MATCH($I$9, InvoiceDetails[#Headers], 0)),"")</f>
        <v/>
      </c>
      <c r="J19" s="181"/>
      <c r="K19" s="45" t="str">
        <f t="array" ref="K19">IFERROR(INDEX(InvoiceDetails[],SMALL(IF(InvoiceDetails[Invoice '#]=rngInvoice,ROW(InvoiceDetails[])-ROW(InvoiceDetails[#Headers])), ROW(8:8)), MATCH($K$9, InvoiceDetails[#Headers], 0)),"")</f>
        <v/>
      </c>
      <c r="L19" s="46" t="str">
        <f t="shared" si="0"/>
        <v/>
      </c>
    </row>
    <row r="20" spans="2:12" s="12" customFormat="1" ht="16.5" customHeight="1" x14ac:dyDescent="0.2">
      <c r="B20" s="41">
        <f>IFERROR(INDEX(InvoiceDetails[],SMALL(IF(InvoiceDetails[Invoice '#]=rngInvoice,ROW(InvoiceDetails[])-ROW(InvoiceDetails[#Headers])), ROW(1:1)), MATCH($B$9, InvoiceDetails[#Headers], 0)),"")</f>
        <v>0</v>
      </c>
      <c r="C20" s="182" t="str">
        <f t="array" ref="C20">IFERROR(INDEX(InvoiceDetails[],SMALL(IF(InvoiceDetails[Invoice '#]=rngInvoice,ROW(InvoiceDetails[])-ROW(InvoiceDetails[#Headers])), ROW(#REF!)), MATCH($C$9, InvoiceDetails[#Headers], 0)),"")</f>
        <v/>
      </c>
      <c r="D20" s="182"/>
      <c r="E20" s="182"/>
      <c r="F20" s="182"/>
      <c r="G20" s="182"/>
      <c r="H20" s="42" t="str">
        <f t="array" ref="H20">IFERROR(INDEX(InvoiceDetails[],SMALL(IF(InvoiceDetails[Invoice '#]=rngInvoice,ROW(InvoiceDetails[])-ROW(InvoiceDetails[#Headers])), ROW(#REF!)), MATCH($H$9, InvoiceDetails[#Headers], 0)),"")</f>
        <v/>
      </c>
      <c r="I20" s="192" t="str">
        <f t="array" ref="I20">IFERROR(INDEX(InvoiceDetails[],SMALL(IF(InvoiceDetails[Invoice '#]=rngInvoice,ROW(InvoiceDetails[])-ROW(InvoiceDetails[#Headers])), ROW(#REF!)), MATCH($I$9, InvoiceDetails[#Headers], 0)),"")</f>
        <v/>
      </c>
      <c r="J20" s="192"/>
      <c r="K20" s="45" t="str">
        <f t="array" ref="K20">IFERROR(INDEX(InvoiceDetails[],SMALL(IF(InvoiceDetails[Invoice '#]=rngInvoice,ROW(InvoiceDetails[])-ROW(InvoiceDetails[#Headers])), ROW(#REF!)), MATCH($K$9, InvoiceDetails[#Headers], 0)),"")</f>
        <v/>
      </c>
      <c r="L20" s="46" t="str">
        <f t="shared" si="0"/>
        <v/>
      </c>
    </row>
    <row r="21" spans="2:12" s="12" customFormat="1" ht="16.5" customHeight="1" x14ac:dyDescent="0.2">
      <c r="B21" s="41">
        <f>IFERROR(INDEX(InvoiceDetails[],SMALL(IF(InvoiceDetails[Invoice '#]=rngInvoice,ROW(InvoiceDetails[])-ROW(InvoiceDetails[#Headers])), ROW(1:1)), MATCH($B$9, InvoiceDetails[#Headers], 0)),"")</f>
        <v>0</v>
      </c>
      <c r="C21" s="182" t="str">
        <f t="array" ref="C21">IFERROR(INDEX(InvoiceDetails[],SMALL(IF(InvoiceDetails[Invoice '#]=rngInvoice,ROW(InvoiceDetails[])-ROW(InvoiceDetails[#Headers])), ROW(9:9)), MATCH($C$9, InvoiceDetails[#Headers], 0)),"")</f>
        <v/>
      </c>
      <c r="D21" s="182"/>
      <c r="E21" s="182"/>
      <c r="F21" s="182"/>
      <c r="G21" s="182"/>
      <c r="H21" s="42" t="str">
        <f t="array" ref="H21">IFERROR(INDEX(InvoiceDetails[],SMALL(IF(InvoiceDetails[Invoice '#]=rngInvoice,ROW(InvoiceDetails[])-ROW(InvoiceDetails[#Headers])), ROW(9:9)), MATCH($H$9, InvoiceDetails[#Headers], 0)),"")</f>
        <v/>
      </c>
      <c r="I21" s="192" t="str">
        <f t="array" ref="I21">IFERROR(INDEX(InvoiceDetails[],SMALL(IF(InvoiceDetails[Invoice '#]=rngInvoice,ROW(InvoiceDetails[])-ROW(InvoiceDetails[#Headers])), ROW(9:9)), MATCH($I$9, InvoiceDetails[#Headers], 0)),"")</f>
        <v/>
      </c>
      <c r="J21" s="192"/>
      <c r="K21" s="45" t="str">
        <f t="array" ref="K21">IFERROR(INDEX(InvoiceDetails[],SMALL(IF(InvoiceDetails[Invoice '#]=rngInvoice,ROW(InvoiceDetails[])-ROW(InvoiceDetails[#Headers])), ROW(9:9)), MATCH($K$9, InvoiceDetails[#Headers], 0)),"")</f>
        <v/>
      </c>
      <c r="L21" s="46" t="str">
        <f t="shared" si="0"/>
        <v/>
      </c>
    </row>
    <row r="22" spans="2:12" s="12" customFormat="1" ht="18" customHeight="1" x14ac:dyDescent="0.2">
      <c r="D22" s="47"/>
      <c r="E22" s="47"/>
      <c r="F22" s="47"/>
      <c r="G22" s="47"/>
      <c r="H22" s="47"/>
      <c r="I22" s="47"/>
      <c r="K22" s="93" t="s">
        <v>16</v>
      </c>
      <c r="L22" s="96">
        <f>SUM(L10:L21)</f>
        <v>11158</v>
      </c>
    </row>
    <row r="23" spans="2:12" s="12" customFormat="1" ht="18" customHeight="1" x14ac:dyDescent="0.2">
      <c r="B23" s="12" t="s">
        <v>78</v>
      </c>
      <c r="C23" s="183" t="e">
        <f>VLOOKUP(rngInvoice,InvoicesMain[],10)</f>
        <v>#N/A</v>
      </c>
      <c r="D23" s="184" t="e">
        <f>VLOOKUP(rngInvoice,InvoicesMain[],6)</f>
        <v>#N/A</v>
      </c>
      <c r="E23" s="184" t="e">
        <f>VLOOKUP(rngInvoice,InvoicesMain[],6)</f>
        <v>#N/A</v>
      </c>
      <c r="F23" s="184" t="e">
        <f>VLOOKUP(rngInvoice,InvoicesMain[],6)</f>
        <v>#N/A</v>
      </c>
      <c r="G23" s="184" t="e">
        <f>VLOOKUP(rngInvoice,InvoicesMain[],6)</f>
        <v>#N/A</v>
      </c>
      <c r="H23" s="185" t="e">
        <f>VLOOKUP(rngInvoice,InvoicesMain[],6)</f>
        <v>#N/A</v>
      </c>
      <c r="I23" s="47"/>
      <c r="K23" s="93" t="s">
        <v>22</v>
      </c>
      <c r="L23" s="74" t="e">
        <f>VLOOKUP(rngInvoice,InvoicesMain[],5)</f>
        <v>#N/A</v>
      </c>
    </row>
    <row r="24" spans="2:12" s="12" customFormat="1" ht="18" customHeight="1" x14ac:dyDescent="0.2">
      <c r="C24" s="186" t="e">
        <f>VLOOKUP(rngInvoice,InvoicesMain[],6)</f>
        <v>#N/A</v>
      </c>
      <c r="D24" s="187" t="e">
        <f>VLOOKUP(rngInvoice,InvoicesMain[],6)</f>
        <v>#N/A</v>
      </c>
      <c r="E24" s="187" t="e">
        <f>VLOOKUP(rngInvoice,InvoicesMain[],6)</f>
        <v>#N/A</v>
      </c>
      <c r="F24" s="187" t="e">
        <f>VLOOKUP(rngInvoice,InvoicesMain[],6)</f>
        <v>#N/A</v>
      </c>
      <c r="G24" s="187" t="e">
        <f>VLOOKUP(rngInvoice,InvoicesMain[],6)</f>
        <v>#N/A</v>
      </c>
      <c r="H24" s="188" t="e">
        <f>VLOOKUP(rngInvoice,InvoicesMain[],6)</f>
        <v>#N/A</v>
      </c>
      <c r="K24" s="93" t="s">
        <v>17</v>
      </c>
      <c r="L24" s="48" t="e">
        <f>VLOOKUP(rngInvoice,InvoicesMain[],6)</f>
        <v>#N/A</v>
      </c>
    </row>
    <row r="25" spans="2:12" ht="18" customHeight="1" x14ac:dyDescent="0.2">
      <c r="B25" s="97"/>
      <c r="C25" s="186" t="e">
        <f>VLOOKUP(rngInvoice,InvoicesMain[],6)</f>
        <v>#N/A</v>
      </c>
      <c r="D25" s="187" t="e">
        <f>VLOOKUP(rngInvoice,InvoicesMain[],6)</f>
        <v>#N/A</v>
      </c>
      <c r="E25" s="187" t="e">
        <f>VLOOKUP(rngInvoice,InvoicesMain[],6)</f>
        <v>#N/A</v>
      </c>
      <c r="F25" s="187" t="e">
        <f>VLOOKUP(rngInvoice,InvoicesMain[],6)</f>
        <v>#N/A</v>
      </c>
      <c r="G25" s="187" t="e">
        <f>VLOOKUP(rngInvoice,InvoicesMain[],6)</f>
        <v>#N/A</v>
      </c>
      <c r="H25" s="188" t="e">
        <f>VLOOKUP(rngInvoice,InvoicesMain[],6)</f>
        <v>#N/A</v>
      </c>
      <c r="I25" s="98"/>
      <c r="J25" s="73"/>
      <c r="K25" s="94" t="s">
        <v>1</v>
      </c>
      <c r="L25" s="95" t="e">
        <f>(L22+L24)</f>
        <v>#N/A</v>
      </c>
    </row>
    <row r="26" spans="2:12" ht="18" customHeight="1" x14ac:dyDescent="0.2">
      <c r="C26" s="189" t="e">
        <f>VLOOKUP(rngInvoice,InvoicesMain[],6)</f>
        <v>#N/A</v>
      </c>
      <c r="D26" s="190" t="e">
        <f>VLOOKUP(rngInvoice,InvoicesMain[],6)</f>
        <v>#N/A</v>
      </c>
      <c r="E26" s="190" t="e">
        <f>VLOOKUP(rngInvoice,InvoicesMain[],6)</f>
        <v>#N/A</v>
      </c>
      <c r="F26" s="190" t="e">
        <f>VLOOKUP(rngInvoice,InvoicesMain[],6)</f>
        <v>#N/A</v>
      </c>
      <c r="G26" s="190" t="e">
        <f>VLOOKUP(rngInvoice,InvoicesMain[],6)</f>
        <v>#N/A</v>
      </c>
      <c r="H26" s="191" t="e">
        <f>VLOOKUP(rngInvoice,InvoicesMain[],6)</f>
        <v>#N/A</v>
      </c>
      <c r="K26" s="93" t="s">
        <v>15</v>
      </c>
      <c r="L26" s="49" t="e">
        <f>VLOOKUP(rngInvoice,InvoicesMain[],4)</f>
        <v>#N/A</v>
      </c>
    </row>
    <row r="27" spans="2:12" ht="18" customHeight="1" x14ac:dyDescent="0.2">
      <c r="K27" s="93" t="s">
        <v>77</v>
      </c>
      <c r="L27" s="74" t="e">
        <f>L25-L26</f>
        <v>#N/A</v>
      </c>
    </row>
    <row r="29" spans="2:12" x14ac:dyDescent="0.2"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</row>
    <row r="32" spans="2:12" s="14" customFormat="1" x14ac:dyDescent="0.2">
      <c r="D32" s="11"/>
      <c r="E32" s="11"/>
      <c r="F32" s="11"/>
      <c r="G32" s="11"/>
      <c r="H32" s="11"/>
      <c r="I32" s="11"/>
      <c r="J32" s="11"/>
      <c r="K32" s="11"/>
      <c r="L32" s="11"/>
    </row>
  </sheetData>
  <sheetProtection sheet="1" objects="1" scenarios="1" formatCells="0" formatColumns="0" formatRows="0" selectLockedCells="1" sort="0"/>
  <mergeCells count="36">
    <mergeCell ref="B1:I1"/>
    <mergeCell ref="B3:C3"/>
    <mergeCell ref="H3:I3"/>
    <mergeCell ref="E3:F3"/>
    <mergeCell ref="I9:J9"/>
    <mergeCell ref="C6:E6"/>
    <mergeCell ref="C8:E8"/>
    <mergeCell ref="G6:I6"/>
    <mergeCell ref="G8:I8"/>
    <mergeCell ref="C7:E7"/>
    <mergeCell ref="G7:I7"/>
    <mergeCell ref="C20:G20"/>
    <mergeCell ref="C23:H26"/>
    <mergeCell ref="C21:G21"/>
    <mergeCell ref="I18:J18"/>
    <mergeCell ref="I20:J20"/>
    <mergeCell ref="I21:J21"/>
    <mergeCell ref="C18:G18"/>
    <mergeCell ref="C19:G19"/>
    <mergeCell ref="I19:J19"/>
    <mergeCell ref="C10:G10"/>
    <mergeCell ref="C12:G12"/>
    <mergeCell ref="C13:G13"/>
    <mergeCell ref="I16:J16"/>
    <mergeCell ref="C11:G11"/>
    <mergeCell ref="I10:J10"/>
    <mergeCell ref="I11:J11"/>
    <mergeCell ref="I12:J12"/>
    <mergeCell ref="I13:J13"/>
    <mergeCell ref="I14:J14"/>
    <mergeCell ref="I17:J17"/>
    <mergeCell ref="C15:G15"/>
    <mergeCell ref="C16:G16"/>
    <mergeCell ref="C17:G17"/>
    <mergeCell ref="C14:G14"/>
    <mergeCell ref="I15:J15"/>
  </mergeCells>
  <phoneticPr fontId="2" type="noConversion"/>
  <conditionalFormatting sqref="K22:K24 K26 C10:G10 B16:K21 B11:G15">
    <cfRule type="expression" dxfId="40" priority="10">
      <formula>MOD(ROW(),2)=0</formula>
    </cfRule>
  </conditionalFormatting>
  <conditionalFormatting sqref="L10:L21">
    <cfRule type="expression" dxfId="39" priority="7">
      <formula>MOD(ROW(),2)=0</formula>
    </cfRule>
    <cfRule type="expression" dxfId="38" priority="8">
      <formula>MOD(ROW(),2)=1</formula>
    </cfRule>
  </conditionalFormatting>
  <conditionalFormatting sqref="B10 H10:K15">
    <cfRule type="expression" dxfId="37" priority="6">
      <formula>MOD(ROW(),2)=0</formula>
    </cfRule>
  </conditionalFormatting>
  <conditionalFormatting sqref="L22:L24 L26">
    <cfRule type="expression" dxfId="36" priority="4">
      <formula>MOD(ROW(),2)=1</formula>
    </cfRule>
    <cfRule type="expression" dxfId="35" priority="5">
      <formula>MOD(ROW(),2)=0</formula>
    </cfRule>
  </conditionalFormatting>
  <conditionalFormatting sqref="K27">
    <cfRule type="expression" dxfId="34" priority="3">
      <formula>MOD(ROW(),2)=0</formula>
    </cfRule>
  </conditionalFormatting>
  <conditionalFormatting sqref="L27">
    <cfRule type="expression" dxfId="33" priority="1">
      <formula>MOD(ROW(),2)=1</formula>
    </cfRule>
    <cfRule type="expression" dxfId="32" priority="2">
      <formula>MOD(ROW(),2)=0</formula>
    </cfRule>
  </conditionalFormatting>
  <dataValidations count="1">
    <dataValidation type="list" allowBlank="1" showInputMessage="1" showErrorMessage="1" errorTitle="Invalid Data" error="Please select and Invoice number from this list. If your invoice isn't shown, check the worksheet named Invoices - Main." sqref="L6">
      <formula1>Invoice_No</formula1>
    </dataValidation>
  </dataValidations>
  <printOptions horizontalCentered="1"/>
  <pageMargins left="0.7" right="0.7" top="1" bottom="1" header="0.3" footer="0.3"/>
  <pageSetup scale="82" orientation="portrait" horizontalDpi="300" verticalDpi="300" r:id="rId1"/>
  <headerFooter alignWithMargins="0"/>
  <ignoredErrors>
    <ignoredError sqref="L25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6" tint="-0.249977111117893"/>
    <pageSetUpPr autoPageBreaks="0" fitToPage="1"/>
  </sheetPr>
  <dimension ref="A1:M32"/>
  <sheetViews>
    <sheetView showGridLines="0" zoomScale="110" zoomScaleNormal="110" zoomScalePageLayoutView="30" workbookViewId="0">
      <selection activeCell="L6" sqref="L6"/>
    </sheetView>
  </sheetViews>
  <sheetFormatPr defaultColWidth="9.28515625" defaultRowHeight="12.75" x14ac:dyDescent="0.2"/>
  <cols>
    <col min="1" max="1" width="3.28515625" style="11" customWidth="1"/>
    <col min="2" max="2" width="10.28515625" style="11" customWidth="1"/>
    <col min="3" max="3" width="18.28515625" style="11" customWidth="1"/>
    <col min="4" max="4" width="4.42578125" style="11" customWidth="1"/>
    <col min="5" max="5" width="6.5703125" style="11" customWidth="1"/>
    <col min="6" max="6" width="7.7109375" style="11" customWidth="1"/>
    <col min="7" max="7" width="4.42578125" style="11" customWidth="1"/>
    <col min="8" max="8" width="7.28515625" style="11" customWidth="1"/>
    <col min="9" max="9" width="12" style="11" customWidth="1"/>
    <col min="10" max="10" width="1.140625" style="11" customWidth="1"/>
    <col min="11" max="11" width="16.7109375" style="11" customWidth="1"/>
    <col min="12" max="12" width="16.85546875" style="11" customWidth="1"/>
    <col min="13" max="13" width="3.28515625" style="11" customWidth="1"/>
    <col min="14" max="14" width="9.28515625" style="11"/>
    <col min="15" max="15" width="11.28515625" style="11" customWidth="1"/>
    <col min="16" max="16384" width="9.28515625" style="11"/>
  </cols>
  <sheetData>
    <row r="1" spans="1:13" ht="32.25" customHeight="1" x14ac:dyDescent="0.2">
      <c r="A1" s="10"/>
      <c r="B1" s="193" t="s">
        <v>42</v>
      </c>
      <c r="C1" s="193"/>
      <c r="D1" s="193"/>
      <c r="E1" s="193"/>
      <c r="F1" s="193"/>
      <c r="G1" s="193"/>
      <c r="H1" s="193"/>
      <c r="I1" s="193"/>
      <c r="J1" s="25"/>
      <c r="K1" s="25"/>
      <c r="L1" s="25"/>
      <c r="M1" s="28"/>
    </row>
    <row r="2" spans="1:13" s="10" customFormat="1" ht="6.75" customHeight="1" x14ac:dyDescent="0.2">
      <c r="B2" s="33"/>
      <c r="C2" s="33"/>
      <c r="D2" s="33"/>
      <c r="E2" s="33"/>
      <c r="F2" s="33"/>
      <c r="G2" s="33"/>
      <c r="H2" s="33"/>
      <c r="I2" s="33"/>
      <c r="J2" s="26"/>
      <c r="K2" s="26"/>
      <c r="L2" s="26"/>
      <c r="M2" s="26"/>
    </row>
    <row r="3" spans="1:13" ht="12.75" customHeight="1" x14ac:dyDescent="0.2">
      <c r="B3" s="194" t="s">
        <v>24</v>
      </c>
      <c r="C3" s="194"/>
      <c r="D3" s="34" t="s">
        <v>25</v>
      </c>
      <c r="E3" s="196" t="s">
        <v>26</v>
      </c>
      <c r="F3" s="196"/>
      <c r="G3" s="35"/>
      <c r="H3" s="195" t="s">
        <v>27</v>
      </c>
      <c r="I3" s="195"/>
      <c r="J3" s="27"/>
      <c r="K3" s="27"/>
      <c r="L3" s="27"/>
      <c r="M3" s="27"/>
    </row>
    <row r="4" spans="1:13" ht="6.75" customHeight="1" x14ac:dyDescent="0.2">
      <c r="B4" s="29"/>
      <c r="C4" s="29"/>
      <c r="D4" s="30"/>
      <c r="E4" s="31"/>
      <c r="F4" s="31"/>
      <c r="G4" s="31"/>
      <c r="H4" s="32"/>
      <c r="I4" s="32"/>
      <c r="J4" s="27"/>
      <c r="K4" s="27"/>
      <c r="L4" s="27"/>
      <c r="M4" s="27"/>
    </row>
    <row r="6" spans="1:13" s="51" customFormat="1" ht="18" customHeight="1" x14ac:dyDescent="0.2">
      <c r="B6" s="36" t="s">
        <v>11</v>
      </c>
      <c r="C6" s="198" t="str">
        <f>IFERROR(VLOOKUP(VLOOKUP(rngInvoice,InvoicesMain[],2),CustomerList[],3,TRUE),"")</f>
        <v/>
      </c>
      <c r="D6" s="198"/>
      <c r="E6" s="198"/>
      <c r="F6" s="36" t="s">
        <v>13</v>
      </c>
      <c r="G6" s="198" t="str">
        <f>IFERROR(VLOOKUP(VLOOKUP(rngInvoice,InvoicesMain[],2),CustomerList[],9,FALSE),"")</f>
        <v/>
      </c>
      <c r="H6" s="198"/>
      <c r="I6" s="198"/>
      <c r="J6" s="52"/>
      <c r="K6" s="36" t="s">
        <v>37</v>
      </c>
      <c r="L6" s="50"/>
    </row>
    <row r="7" spans="1:13" s="51" customFormat="1" ht="18" customHeight="1" x14ac:dyDescent="0.2">
      <c r="B7" s="36" t="s">
        <v>12</v>
      </c>
      <c r="C7" s="198" t="str">
        <f>IFERROR(VLOOKUP(VLOOKUP(rngInvoice,InvoicesMain[],2),CustomerList[],5,FALSE),"")</f>
        <v/>
      </c>
      <c r="D7" s="198"/>
      <c r="E7" s="198"/>
      <c r="F7" s="36" t="s">
        <v>73</v>
      </c>
      <c r="G7" s="198" t="str">
        <f>IFERROR(VLOOKUP(VLOOKUP(rngInvoice,InvoicesMain[],2),CustomerList[],11,FALSE),"")</f>
        <v/>
      </c>
      <c r="H7" s="198"/>
      <c r="I7" s="198"/>
      <c r="J7" s="53"/>
      <c r="K7" s="36" t="s">
        <v>14</v>
      </c>
      <c r="L7" s="54" t="str">
        <f>IFERROR(VLOOKUP(rngInvoice,InvoicesMain[],3,FALSE),"")</f>
        <v/>
      </c>
    </row>
    <row r="8" spans="1:13" s="51" customFormat="1" ht="18" customHeight="1" x14ac:dyDescent="0.2">
      <c r="B8" s="52"/>
      <c r="C8" s="198" t="str">
        <f>IFERROR(VLOOKUP(VLOOKUP(rngInvoice,InvoicesMain[],2),CustomerList[],6,FALSE)&amp;" "&amp; VLOOKUP(VLOOKUP(L6,InvoicesMain[],2,FALSE),CustomerList[],7,FALSE)&amp;", "&amp;VLOOKUP(VLOOKUP(L6,InvoicesMain[],2,FALSE),CustomerList[],8,FALSE),"")</f>
        <v/>
      </c>
      <c r="D8" s="198"/>
      <c r="E8" s="198"/>
      <c r="F8" s="36" t="s">
        <v>43</v>
      </c>
      <c r="G8" s="198" t="str">
        <f>IFERROR(VLOOKUP(VLOOKUP(rngInvoice,InvoicesMain[],2),CustomerList[],10,FALSE),"")</f>
        <v/>
      </c>
      <c r="H8" s="198"/>
      <c r="I8" s="198"/>
      <c r="J8" s="52"/>
      <c r="K8" s="55"/>
      <c r="L8" s="55"/>
    </row>
    <row r="9" spans="1:13" s="12" customFormat="1" ht="23.25" customHeight="1" x14ac:dyDescent="0.2">
      <c r="B9" s="37" t="s">
        <v>31</v>
      </c>
      <c r="C9" s="38" t="s">
        <v>7</v>
      </c>
      <c r="D9" s="159"/>
      <c r="E9" s="159"/>
      <c r="F9" s="159"/>
      <c r="G9" s="159"/>
      <c r="H9" s="159" t="s">
        <v>20</v>
      </c>
      <c r="I9" s="197" t="s">
        <v>23</v>
      </c>
      <c r="J9" s="197"/>
      <c r="K9" s="159" t="s">
        <v>22</v>
      </c>
      <c r="L9" s="40" t="s">
        <v>21</v>
      </c>
    </row>
    <row r="10" spans="1:13" s="12" customFormat="1" ht="16.5" customHeight="1" x14ac:dyDescent="0.2">
      <c r="B10" s="41" t="str">
        <f>IFERROR(INDEX(InvoiceDetails[],SMALL(IF(InvoiceDetails[Invoice '#]=rngInvoice,ROW(InvoiceDetails[])-ROW(InvoiceDetails[#Headers])), ROW(1:1)), MATCH($B$9, InvoiceDetails[#Headers], 0)),"")</f>
        <v>Item 5</v>
      </c>
      <c r="C10" s="182">
        <f t="array" ref="C10">IFERROR(INDEX(InvoiceDetails[],SMALL(IF(InvoiceDetails[Invoice '#]=rngInvoice,ROW(InvoiceDetails[])-ROW(InvoiceDetails[#Headers])), ROW(2:2)), MATCH($C$9, InvoiceDetails[#Headers], 0)),"")</f>
        <v>0</v>
      </c>
      <c r="D10" s="182"/>
      <c r="E10" s="182"/>
      <c r="F10" s="182"/>
      <c r="G10" s="182"/>
      <c r="H10" s="42">
        <f>IFERROR(INDEX(InvoiceDetails[],SMALL(IF(InvoiceDetails[Invoice '#]=rngInvoice,ROW(InvoiceDetails[])-ROW(InvoiceDetails[#Headers])), ROW(1:1)), MATCH($H$9, InvoiceDetails[#Headers], 0)),"")</f>
        <v>86</v>
      </c>
      <c r="I10" s="181">
        <f t="array" ref="I10">IFERROR(INDEX(InvoiceDetails[],SMALL(IF(InvoiceDetails[Invoice '#]=rngInvoice,ROW(InvoiceDetails[])-ROW(InvoiceDetails[#Headers])), ROW(1:1)), MATCH($I$9, InvoiceDetails[#Headers], 0)),"")</f>
        <v>0</v>
      </c>
      <c r="J10" s="181"/>
      <c r="K10" s="43">
        <f t="array" ref="K10">IFERROR(INDEX(InvoiceDetails[],SMALL(IF(InvoiceDetails[Invoice '#]=rngInvoice,ROW(InvoiceDetails[])-ROW(InvoiceDetails[#Headers])), ROW(1:1)), MATCH($K$9, InvoiceDetails[#Headers], 0)),"")</f>
        <v>0</v>
      </c>
      <c r="L10" s="44">
        <f>IFERROR((H10*I10)-K10,"")</f>
        <v>0</v>
      </c>
    </row>
    <row r="11" spans="1:13" s="12" customFormat="1" ht="16.5" customHeight="1" x14ac:dyDescent="0.2">
      <c r="B11" s="41" t="str">
        <f>IFERROR(INDEX(InvoiceDetails[],SMALL(IF(InvoiceDetails[Invoice '#]=rngInvoice,ROW(InvoiceDetails[])-ROW(InvoiceDetails[#Headers])), ROW(1:1)), MATCH($B$9, InvoiceDetails[#Headers], 0)),"")</f>
        <v>AGS-BAT-12V</v>
      </c>
      <c r="C11" s="182">
        <f t="array" ref="C11">IFERROR(INDEX(InvoiceDetails[],SMALL(IF(InvoiceDetails[Invoice '#]=rngInvoice,ROW(InvoiceDetails[])-ROW(InvoiceDetails[#Headers])), ROW(3:3)), MATCH($C$9, InvoiceDetails[#Headers], 0)),"")</f>
        <v>0</v>
      </c>
      <c r="D11" s="182"/>
      <c r="E11" s="182"/>
      <c r="F11" s="182"/>
      <c r="G11" s="182"/>
      <c r="H11" s="42" t="str">
        <f>IFERROR(INDEX(InvoiceDetails[],SMALL(IF(InvoiceDetails[Invoice '#]=rngInvoice,ROW(InvoiceDetails[])-ROW(InvoiceDetails[#Headers])), ROW(2:2)), MATCH($H$9, InvoiceDetails[#Headers], 0)),"")</f>
        <v/>
      </c>
      <c r="I11" s="181">
        <f t="array" ref="I11">IFERROR(INDEX(InvoiceDetails[],SMALL(IF(InvoiceDetails[Invoice '#]=rngInvoice,ROW(InvoiceDetails[])-ROW(InvoiceDetails[#Headers])), ROW(2:2)), MATCH($I$9, InvoiceDetails[#Headers], 0)),"")</f>
        <v>0</v>
      </c>
      <c r="J11" s="181"/>
      <c r="K11" s="43">
        <f t="array" ref="K11">IFERROR(INDEX(InvoiceDetails[],SMALL(IF(InvoiceDetails[Invoice '#]=rngInvoice,ROW(InvoiceDetails[])-ROW(InvoiceDetails[#Headers])), ROW(2:2)), MATCH($K$9, InvoiceDetails[#Headers], 0)),"")</f>
        <v>0</v>
      </c>
      <c r="L11" s="46" t="str">
        <f t="shared" ref="L11:L21" si="0">IFERROR((H11*I11)-K11,"")</f>
        <v/>
      </c>
    </row>
    <row r="12" spans="1:13" s="12" customFormat="1" ht="16.5" customHeight="1" x14ac:dyDescent="0.2">
      <c r="B12" s="41" t="str">
        <f>IFERROR(INDEX(InvoiceDetails[],SMALL(IF(InvoiceDetails[Invoice '#]=rngInvoice,ROW(InvoiceDetails[])-ROW(InvoiceDetails[#Headers])), ROW(1:1)), MATCH($B$9, InvoiceDetails[#Headers], 0)),"")</f>
        <v>AGS-BAT-12V</v>
      </c>
      <c r="C12" s="182">
        <f t="array" ref="C12">IFERROR(INDEX(InvoiceDetails[],SMALL(IF(InvoiceDetails[Invoice '#]=rngInvoice,ROW(InvoiceDetails[])-ROW(InvoiceDetails[#Headers])), ROW(4:4)), MATCH($C$9, InvoiceDetails[#Headers], 0)),"")</f>
        <v>0</v>
      </c>
      <c r="D12" s="182"/>
      <c r="E12" s="182"/>
      <c r="F12" s="182"/>
      <c r="G12" s="182"/>
      <c r="H12" s="42" t="str">
        <f>IFERROR(INDEX(InvoiceDetails[],SMALL(IF(InvoiceDetails[Invoice '#]=rngInvoice,ROW(InvoiceDetails[])-ROW(InvoiceDetails[#Headers])), ROW(3:3)), MATCH($H$9, InvoiceDetails[#Headers], 0)),"")</f>
        <v/>
      </c>
      <c r="I12" s="181">
        <f t="array" ref="I12">IFERROR(INDEX(InvoiceDetails[],SMALL(IF(InvoiceDetails[Invoice '#]=rngInvoice,ROW(InvoiceDetails[])-ROW(InvoiceDetails[#Headers])), ROW(3:3)), MATCH($I$9, InvoiceDetails[#Headers], 0)),"")</f>
        <v>0</v>
      </c>
      <c r="J12" s="181"/>
      <c r="K12" s="43">
        <f t="array" ref="K12">IFERROR(INDEX(InvoiceDetails[],SMALL(IF(InvoiceDetails[Invoice '#]=rngInvoice,ROW(InvoiceDetails[])-ROW(InvoiceDetails[#Headers])), ROW(3:3)), MATCH($K$9, InvoiceDetails[#Headers], 0)),"")</f>
        <v>0</v>
      </c>
      <c r="L12" s="46" t="str">
        <f t="shared" si="0"/>
        <v/>
      </c>
    </row>
    <row r="13" spans="1:13" s="12" customFormat="1" ht="16.5" customHeight="1" x14ac:dyDescent="0.2">
      <c r="B13" s="41" t="str">
        <f>IFERROR(INDEX(InvoiceDetails[],SMALL(IF(InvoiceDetails[Invoice '#]=rngInvoice,ROW(InvoiceDetails[])-ROW(InvoiceDetails[#Headers])), ROW(1:1)), MATCH($B$9, InvoiceDetails[#Headers], 0)),"")</f>
        <v>AGS-BAT-12V</v>
      </c>
      <c r="C13" s="182">
        <f t="array" ref="C13">IFERROR(INDEX(InvoiceDetails[],SMALL(IF(InvoiceDetails[Invoice '#]=rngInvoice,ROW(InvoiceDetails[])-ROW(InvoiceDetails[#Headers])), ROW(5:5)), MATCH($C$9, InvoiceDetails[#Headers], 0)),"")</f>
        <v>0</v>
      </c>
      <c r="D13" s="182"/>
      <c r="E13" s="182"/>
      <c r="F13" s="182"/>
      <c r="G13" s="182"/>
      <c r="H13" s="42" t="str">
        <f>IFERROR(INDEX(InvoiceDetails[],SMALL(IF(InvoiceDetails[Invoice '#]=rngInvoice,ROW(InvoiceDetails[])-ROW(InvoiceDetails[#Headers])), ROW(4:4)), MATCH($H$9, InvoiceDetails[#Headers], 0)),"")</f>
        <v/>
      </c>
      <c r="I13" s="181">
        <f t="array" ref="I13">IFERROR(INDEX(InvoiceDetails[],SMALL(IF(InvoiceDetails[Invoice '#]=rngInvoice,ROW(InvoiceDetails[])-ROW(InvoiceDetails[#Headers])), ROW(4:4)), MATCH($I$9, InvoiceDetails[#Headers], 0)),"")</f>
        <v>0</v>
      </c>
      <c r="J13" s="181"/>
      <c r="K13" s="43">
        <f t="array" ref="K13">IFERROR(INDEX(InvoiceDetails[],SMALL(IF(InvoiceDetails[Invoice '#]=rngInvoice,ROW(InvoiceDetails[])-ROW(InvoiceDetails[#Headers])), ROW(4:4)), MATCH($K$9, InvoiceDetails[#Headers], 0)),"")</f>
        <v>0</v>
      </c>
      <c r="L13" s="46" t="str">
        <f t="shared" si="0"/>
        <v/>
      </c>
    </row>
    <row r="14" spans="1:13" s="12" customFormat="1" ht="16.5" customHeight="1" x14ac:dyDescent="0.2">
      <c r="B14" s="41" t="str">
        <f>IFERROR(INDEX(InvoiceDetails[],SMALL(IF(InvoiceDetails[Invoice '#]=rngInvoice,ROW(InvoiceDetails[])-ROW(InvoiceDetails[#Headers])), ROW(1:1)), MATCH($B$9, InvoiceDetails[#Headers], 0)),"")</f>
        <v>AGS-BAT-12V</v>
      </c>
      <c r="C14" s="182">
        <f t="array" ref="C14">IFERROR(INDEX(InvoiceDetails[],SMALL(IF(InvoiceDetails[Invoice '#]=rngInvoice,ROW(InvoiceDetails[])-ROW(InvoiceDetails[#Headers])), ROW(6:6)), MATCH($C$9, InvoiceDetails[#Headers], 0)),"")</f>
        <v>0</v>
      </c>
      <c r="D14" s="182"/>
      <c r="E14" s="182"/>
      <c r="F14" s="182"/>
      <c r="G14" s="182"/>
      <c r="H14" s="42" t="str">
        <f>IFERROR(INDEX(InvoiceDetails[],SMALL(IF(InvoiceDetails[Invoice '#]=rngInvoice,ROW(InvoiceDetails[])-ROW(InvoiceDetails[#Headers])), ROW(5:5)), MATCH($H$9, InvoiceDetails[#Headers], 0)),"")</f>
        <v/>
      </c>
      <c r="I14" s="181">
        <f t="array" ref="I14">IFERROR(INDEX(InvoiceDetails[],SMALL(IF(InvoiceDetails[Invoice '#]=rngInvoice,ROW(InvoiceDetails[])-ROW(InvoiceDetails[#Headers])), ROW(5:5)), MATCH($I$9, InvoiceDetails[#Headers], 0)),"")</f>
        <v>0</v>
      </c>
      <c r="J14" s="181"/>
      <c r="K14" s="43">
        <f t="array" ref="K14">IFERROR(INDEX(InvoiceDetails[],SMALL(IF(InvoiceDetails[Invoice '#]=rngInvoice,ROW(InvoiceDetails[])-ROW(InvoiceDetails[#Headers])), ROW(5:5)), MATCH($K$9, InvoiceDetails[#Headers], 0)),"")</f>
        <v>0</v>
      </c>
      <c r="L14" s="46" t="str">
        <f t="shared" si="0"/>
        <v/>
      </c>
    </row>
    <row r="15" spans="1:13" s="12" customFormat="1" ht="16.5" customHeight="1" x14ac:dyDescent="0.2">
      <c r="B15" s="41" t="str">
        <f>IFERROR(INDEX(InvoiceDetails[],SMALL(IF(InvoiceDetails[Invoice '#]=rngInvoice,ROW(InvoiceDetails[])-ROW(InvoiceDetails[#Headers])), ROW(1:1)), MATCH($B$9, InvoiceDetails[#Headers], 0)),"")</f>
        <v>AGS-BAT-12V</v>
      </c>
      <c r="C15" s="182">
        <f t="array" ref="C15">IFERROR(INDEX(InvoiceDetails[],SMALL(IF(InvoiceDetails[Invoice '#]=rngInvoice,ROW(InvoiceDetails[])-ROW(InvoiceDetails[#Headers])), ROW(7:7)), MATCH($C$9, InvoiceDetails[#Headers], 0)),"")</f>
        <v>0</v>
      </c>
      <c r="D15" s="182"/>
      <c r="E15" s="182"/>
      <c r="F15" s="182"/>
      <c r="G15" s="182"/>
      <c r="H15" s="42" t="str">
        <f>IFERROR(INDEX(InvoiceDetails[],SMALL(IF(InvoiceDetails[Invoice '#]=rngInvoice,ROW(InvoiceDetails[])-ROW(InvoiceDetails[#Headers])), ROW(6:6)), MATCH($H$9, InvoiceDetails[#Headers], 0)),"")</f>
        <v/>
      </c>
      <c r="I15" s="181">
        <f t="array" ref="I15">IFERROR(INDEX(InvoiceDetails[],SMALL(IF(InvoiceDetails[Invoice '#]=rngInvoice,ROW(InvoiceDetails[])-ROW(InvoiceDetails[#Headers])), ROW(6:6)), MATCH($I$9, InvoiceDetails[#Headers], 0)),"")</f>
        <v>0</v>
      </c>
      <c r="J15" s="181"/>
      <c r="K15" s="43">
        <f t="array" ref="K15">IFERROR(INDEX(InvoiceDetails[],SMALL(IF(InvoiceDetails[Invoice '#]=rngInvoice,ROW(InvoiceDetails[])-ROW(InvoiceDetails[#Headers])), ROW(6:6)), MATCH($K$9, InvoiceDetails[#Headers], 0)),"")</f>
        <v>0</v>
      </c>
      <c r="L15" s="46" t="str">
        <f t="shared" si="0"/>
        <v/>
      </c>
    </row>
    <row r="16" spans="1:13" s="12" customFormat="1" ht="16.5" customHeight="1" x14ac:dyDescent="0.2">
      <c r="B16" s="41" t="str">
        <f>IFERROR(INDEX(InvoiceDetails[],SMALL(IF(InvoiceDetails[Invoice '#]=rngInvoice,ROW(InvoiceDetails[])-ROW(InvoiceDetails[#Headers])), ROW(1:1)), MATCH($B$9, InvoiceDetails[#Headers], 0)),"")</f>
        <v>AGS-BAT-12V</v>
      </c>
      <c r="C16" s="182">
        <f t="array" ref="C16">IFERROR(INDEX(InvoiceDetails[],SMALL(IF(InvoiceDetails[Invoice '#]=rngInvoice,ROW(InvoiceDetails[])-ROW(InvoiceDetails[#Headers])), ROW(7:7)), MATCH($C$9, InvoiceDetails[#Headers], 0)),"")</f>
        <v>0</v>
      </c>
      <c r="D16" s="182"/>
      <c r="E16" s="182"/>
      <c r="F16" s="182"/>
      <c r="G16" s="182"/>
      <c r="H16" s="42">
        <f t="array" ref="H16">IFERROR(INDEX(InvoiceDetails[],SMALL(IF(InvoiceDetails[Invoice '#]=rngInvoice,ROW(InvoiceDetails[])-ROW(InvoiceDetails[#Headers])), ROW(7:7)), MATCH($H$9, InvoiceDetails[#Headers], 0)),"")</f>
        <v>0</v>
      </c>
      <c r="I16" s="181">
        <f t="array" ref="I16">IFERROR(INDEX(InvoiceDetails[],SMALL(IF(InvoiceDetails[Invoice '#]=rngInvoice,ROW(InvoiceDetails[])-ROW(InvoiceDetails[#Headers])), ROW(7:7)), MATCH($I$9, InvoiceDetails[#Headers], 0)),"")</f>
        <v>0</v>
      </c>
      <c r="J16" s="181"/>
      <c r="K16" s="43">
        <f t="array" ref="K16">IFERROR(INDEX(InvoiceDetails[],SMALL(IF(InvoiceDetails[Invoice '#]=rngInvoice,ROW(InvoiceDetails[])-ROW(InvoiceDetails[#Headers])), ROW(7:7)), MATCH($K$9, InvoiceDetails[#Headers], 0)),"")</f>
        <v>0</v>
      </c>
      <c r="L16" s="46">
        <f t="shared" si="0"/>
        <v>0</v>
      </c>
    </row>
    <row r="17" spans="2:12" s="12" customFormat="1" ht="16.5" customHeight="1" x14ac:dyDescent="0.2">
      <c r="B17" s="41" t="str">
        <f>IFERROR(INDEX(InvoiceDetails[],SMALL(IF(InvoiceDetails[Invoice '#]=rngInvoice,ROW(InvoiceDetails[])-ROW(InvoiceDetails[#Headers])), ROW(1:1)), MATCH($B$9, InvoiceDetails[#Headers], 0)),"")</f>
        <v>AGS-BAT-12V</v>
      </c>
      <c r="C17" s="182">
        <f t="array" ref="C17">IFERROR(INDEX(InvoiceDetails[],SMALL(IF(InvoiceDetails[Invoice '#]=rngInvoice,ROW(InvoiceDetails[])-ROW(InvoiceDetails[#Headers])), ROW(8:8)), MATCH($C$9, InvoiceDetails[#Headers], 0)),"")</f>
        <v>0</v>
      </c>
      <c r="D17" s="182"/>
      <c r="E17" s="182"/>
      <c r="F17" s="182"/>
      <c r="G17" s="182"/>
      <c r="H17" s="42">
        <f t="array" ref="H17">IFERROR(INDEX(InvoiceDetails[],SMALL(IF(InvoiceDetails[Invoice '#]=rngInvoice,ROW(InvoiceDetails[])-ROW(InvoiceDetails[#Headers])), ROW(8:8)), MATCH($H$9, InvoiceDetails[#Headers], 0)),"")</f>
        <v>0</v>
      </c>
      <c r="I17" s="181">
        <f t="array" ref="I17">IFERROR(INDEX(InvoiceDetails[],SMALL(IF(InvoiceDetails[Invoice '#]=rngInvoice,ROW(InvoiceDetails[])-ROW(InvoiceDetails[#Headers])), ROW(8:8)), MATCH($I$9, InvoiceDetails[#Headers], 0)),"")</f>
        <v>0</v>
      </c>
      <c r="J17" s="181"/>
      <c r="K17" s="43">
        <f t="array" ref="K17">IFERROR(INDEX(InvoiceDetails[],SMALL(IF(InvoiceDetails[Invoice '#]=rngInvoice,ROW(InvoiceDetails[])-ROW(InvoiceDetails[#Headers])), ROW(8:8)), MATCH($K$9, InvoiceDetails[#Headers], 0)),"")</f>
        <v>0</v>
      </c>
      <c r="L17" s="46">
        <f t="shared" si="0"/>
        <v>0</v>
      </c>
    </row>
    <row r="18" spans="2:12" s="12" customFormat="1" ht="16.5" customHeight="1" x14ac:dyDescent="0.2">
      <c r="B18" s="41" t="str">
        <f>IFERROR(INDEX(InvoiceDetails[],SMALL(IF(InvoiceDetails[Invoice '#]=rngInvoice,ROW(InvoiceDetails[])-ROW(InvoiceDetails[#Headers])), ROW(1:1)), MATCH($B$9, InvoiceDetails[#Headers], 0)),"")</f>
        <v>AGS-BAT-12V</v>
      </c>
      <c r="C18" s="182">
        <f t="array" ref="C18">IFERROR(INDEX(InvoiceDetails[],SMALL(IF(InvoiceDetails[Invoice '#]=rngInvoice,ROW(InvoiceDetails[])-ROW(InvoiceDetails[#Headers])), ROW(9:9)), MATCH($C$9, InvoiceDetails[#Headers], 0)),"")</f>
        <v>0</v>
      </c>
      <c r="D18" s="182"/>
      <c r="E18" s="182"/>
      <c r="F18" s="182"/>
      <c r="G18" s="182"/>
      <c r="H18" s="42">
        <f t="array" ref="H18">IFERROR(INDEX(InvoiceDetails[],SMALL(IF(InvoiceDetails[Invoice '#]=rngInvoice,ROW(InvoiceDetails[])-ROW(InvoiceDetails[#Headers])), ROW(9:9)), MATCH($H$9, InvoiceDetails[#Headers], 0)),"")</f>
        <v>0</v>
      </c>
      <c r="I18" s="181">
        <f t="array" ref="I18">IFERROR(INDEX(InvoiceDetails[],SMALL(IF(InvoiceDetails[Invoice '#]=rngInvoice,ROW(InvoiceDetails[])-ROW(InvoiceDetails[#Headers])), ROW(9:9)), MATCH($I$9, InvoiceDetails[#Headers], 0)),"")</f>
        <v>0</v>
      </c>
      <c r="J18" s="181"/>
      <c r="K18" s="43">
        <f t="array" ref="K18">IFERROR(INDEX(InvoiceDetails[],SMALL(IF(InvoiceDetails[Invoice '#]=rngInvoice,ROW(InvoiceDetails[])-ROW(InvoiceDetails[#Headers])), ROW(9:9)), MATCH($K$9, InvoiceDetails[#Headers], 0)),"")</f>
        <v>0</v>
      </c>
      <c r="L18" s="46">
        <f t="shared" si="0"/>
        <v>0</v>
      </c>
    </row>
    <row r="19" spans="2:12" s="12" customFormat="1" ht="16.5" customHeight="1" x14ac:dyDescent="0.2">
      <c r="B19" s="41" t="str">
        <f>IFERROR(INDEX(InvoiceDetails[],SMALL(IF(InvoiceDetails[Invoice '#]=rngInvoice,ROW(InvoiceDetails[])-ROW(InvoiceDetails[#Headers])), ROW(1:1)), MATCH($B$9, InvoiceDetails[#Headers], 0)),"")</f>
        <v>AGS-BAT-12V</v>
      </c>
      <c r="C19" s="182">
        <f t="array" ref="C19">IFERROR(INDEX(InvoiceDetails[],SMALL(IF(InvoiceDetails[Invoice '#]=rngInvoice,ROW(InvoiceDetails[])-ROW(InvoiceDetails[#Headers])), ROW(8:8)), MATCH($C$9, InvoiceDetails[#Headers], 0)),"")</f>
        <v>0</v>
      </c>
      <c r="D19" s="182"/>
      <c r="E19" s="182"/>
      <c r="F19" s="182"/>
      <c r="G19" s="182"/>
      <c r="H19" s="42">
        <f t="array" ref="H19">IFERROR(INDEX(InvoiceDetails[],SMALL(IF(InvoiceDetails[Invoice '#]=rngInvoice,ROW(InvoiceDetails[])-ROW(InvoiceDetails[#Headers])), ROW(8:8)), MATCH($H$9, InvoiceDetails[#Headers], 0)),"")</f>
        <v>0</v>
      </c>
      <c r="I19" s="181">
        <f t="array" ref="I19">IFERROR(INDEX(InvoiceDetails[],SMALL(IF(InvoiceDetails[Invoice '#]=rngInvoice,ROW(InvoiceDetails[])-ROW(InvoiceDetails[#Headers])), ROW(10:10)), MATCH($I$9, InvoiceDetails[#Headers], 0)),"")</f>
        <v>0</v>
      </c>
      <c r="J19" s="181"/>
      <c r="K19" s="45">
        <f t="array" ref="K19">IFERROR(INDEX(InvoiceDetails[],SMALL(IF(InvoiceDetails[Invoice '#]=rngInvoice,ROW(InvoiceDetails[])-ROW(InvoiceDetails[#Headers])), ROW(8:8)), MATCH($K$9, InvoiceDetails[#Headers], 0)),"")</f>
        <v>0</v>
      </c>
      <c r="L19" s="46">
        <f t="shared" si="0"/>
        <v>0</v>
      </c>
    </row>
    <row r="20" spans="2:12" s="12" customFormat="1" ht="16.5" customHeight="1" x14ac:dyDescent="0.2">
      <c r="B20" s="41" t="str">
        <f>IFERROR(INDEX(InvoiceDetails[],SMALL(IF(InvoiceDetails[Invoice '#]=rngInvoice,ROW(InvoiceDetails[])-ROW(InvoiceDetails[#Headers])), ROW(1:1)), MATCH($B$9, InvoiceDetails[#Headers], 0)),"")</f>
        <v>AGS-BAT-12V</v>
      </c>
      <c r="C20" s="182" t="str">
        <f t="array" ref="C20">IFERROR(INDEX(InvoiceDetails[],SMALL(IF(InvoiceDetails[Invoice '#]=rngInvoice,ROW(InvoiceDetails[])-ROW(InvoiceDetails[#Headers])), ROW(#REF!)), MATCH($C$9, InvoiceDetails[#Headers], 0)),"")</f>
        <v/>
      </c>
      <c r="D20" s="182"/>
      <c r="E20" s="182"/>
      <c r="F20" s="182"/>
      <c r="G20" s="182"/>
      <c r="H20" s="42" t="str">
        <f t="array" ref="H20">IFERROR(INDEX(InvoiceDetails[],SMALL(IF(InvoiceDetails[Invoice '#]=rngInvoice,ROW(InvoiceDetails[])-ROW(InvoiceDetails[#Headers])), ROW(#REF!)), MATCH($H$9, InvoiceDetails[#Headers], 0)),"")</f>
        <v/>
      </c>
      <c r="I20" s="192" t="str">
        <f t="array" ref="I20">IFERROR(INDEX(InvoiceDetails[],SMALL(IF(InvoiceDetails[Invoice '#]=rngInvoice,ROW(InvoiceDetails[])-ROW(InvoiceDetails[#Headers])), ROW(#REF!)), MATCH($I$9, InvoiceDetails[#Headers], 0)),"")</f>
        <v/>
      </c>
      <c r="J20" s="192"/>
      <c r="K20" s="45" t="str">
        <f t="array" ref="K20">IFERROR(INDEX(InvoiceDetails[],SMALL(IF(InvoiceDetails[Invoice '#]=rngInvoice,ROW(InvoiceDetails[])-ROW(InvoiceDetails[#Headers])), ROW(#REF!)), MATCH($K$9, InvoiceDetails[#Headers], 0)),"")</f>
        <v/>
      </c>
      <c r="L20" s="46" t="str">
        <f t="shared" si="0"/>
        <v/>
      </c>
    </row>
    <row r="21" spans="2:12" s="12" customFormat="1" ht="16.5" customHeight="1" x14ac:dyDescent="0.2">
      <c r="B21" s="41" t="str">
        <f>IFERROR(INDEX(InvoiceDetails[],SMALL(IF(InvoiceDetails[Invoice '#]=rngInvoice,ROW(InvoiceDetails[])-ROW(InvoiceDetails[#Headers])), ROW(1:1)), MATCH($B$9, InvoiceDetails[#Headers], 0)),"")</f>
        <v>AGS-BAT-12V</v>
      </c>
      <c r="C21" s="182">
        <f t="array" ref="C21">IFERROR(INDEX(InvoiceDetails[],SMALL(IF(InvoiceDetails[Invoice '#]=rngInvoice,ROW(InvoiceDetails[])-ROW(InvoiceDetails[#Headers])), ROW(9:9)), MATCH($C$9, InvoiceDetails[#Headers], 0)),"")</f>
        <v>0</v>
      </c>
      <c r="D21" s="182"/>
      <c r="E21" s="182"/>
      <c r="F21" s="182"/>
      <c r="G21" s="182"/>
      <c r="H21" s="42">
        <f t="array" ref="H21">IFERROR(INDEX(InvoiceDetails[],SMALL(IF(InvoiceDetails[Invoice '#]=rngInvoice,ROW(InvoiceDetails[])-ROW(InvoiceDetails[#Headers])), ROW(9:9)), MATCH($H$9, InvoiceDetails[#Headers], 0)),"")</f>
        <v>0</v>
      </c>
      <c r="I21" s="192">
        <f t="array" ref="I21">IFERROR(INDEX(InvoiceDetails[],SMALL(IF(InvoiceDetails[Invoice '#]=rngInvoice,ROW(InvoiceDetails[])-ROW(InvoiceDetails[#Headers])), ROW(9:9)), MATCH($I$9, InvoiceDetails[#Headers], 0)),"")</f>
        <v>0</v>
      </c>
      <c r="J21" s="192"/>
      <c r="K21" s="45">
        <f t="array" ref="K21">IFERROR(INDEX(InvoiceDetails[],SMALL(IF(InvoiceDetails[Invoice '#]=rngInvoice,ROW(InvoiceDetails[])-ROW(InvoiceDetails[#Headers])), ROW(9:9)), MATCH($K$9, InvoiceDetails[#Headers], 0)),"")</f>
        <v>0</v>
      </c>
      <c r="L21" s="46">
        <f t="shared" si="0"/>
        <v>0</v>
      </c>
    </row>
    <row r="22" spans="2:12" s="12" customFormat="1" ht="18" customHeight="1" x14ac:dyDescent="0.2">
      <c r="D22" s="47"/>
      <c r="E22" s="47"/>
      <c r="F22" s="47"/>
      <c r="G22" s="47"/>
      <c r="H22" s="47"/>
      <c r="I22" s="47"/>
      <c r="K22" s="93" t="s">
        <v>16</v>
      </c>
      <c r="L22" s="96">
        <f>SUM(L10:L21)</f>
        <v>0</v>
      </c>
    </row>
    <row r="23" spans="2:12" s="12" customFormat="1" ht="18" customHeight="1" x14ac:dyDescent="0.2">
      <c r="B23" s="12" t="s">
        <v>78</v>
      </c>
      <c r="C23" s="183" t="e">
        <f>VLOOKUP(rngInvoice,InvoicesMain[],10)</f>
        <v>#N/A</v>
      </c>
      <c r="D23" s="184" t="e">
        <f>VLOOKUP(rngInvoice,InvoicesMain[],6)</f>
        <v>#N/A</v>
      </c>
      <c r="E23" s="184" t="e">
        <f>VLOOKUP(rngInvoice,InvoicesMain[],6)</f>
        <v>#N/A</v>
      </c>
      <c r="F23" s="184" t="e">
        <f>VLOOKUP(rngInvoice,InvoicesMain[],6)</f>
        <v>#N/A</v>
      </c>
      <c r="G23" s="184" t="e">
        <f>VLOOKUP(rngInvoice,InvoicesMain[],6)</f>
        <v>#N/A</v>
      </c>
      <c r="H23" s="185" t="e">
        <f>VLOOKUP(rngInvoice,InvoicesMain[],6)</f>
        <v>#N/A</v>
      </c>
      <c r="I23" s="47"/>
      <c r="K23" s="93" t="s">
        <v>22</v>
      </c>
      <c r="L23" s="74" t="e">
        <f>VLOOKUP(rngInvoice,InvoicesMain[],5)</f>
        <v>#N/A</v>
      </c>
    </row>
    <row r="24" spans="2:12" s="12" customFormat="1" ht="18" customHeight="1" x14ac:dyDescent="0.2">
      <c r="C24" s="186" t="e">
        <f>VLOOKUP(rngInvoice,InvoicesMain[],6)</f>
        <v>#N/A</v>
      </c>
      <c r="D24" s="187" t="e">
        <f>VLOOKUP(rngInvoice,InvoicesMain[],6)</f>
        <v>#N/A</v>
      </c>
      <c r="E24" s="187" t="e">
        <f>VLOOKUP(rngInvoice,InvoicesMain[],6)</f>
        <v>#N/A</v>
      </c>
      <c r="F24" s="187" t="e">
        <f>VLOOKUP(rngInvoice,InvoicesMain[],6)</f>
        <v>#N/A</v>
      </c>
      <c r="G24" s="187" t="e">
        <f>VLOOKUP(rngInvoice,InvoicesMain[],6)</f>
        <v>#N/A</v>
      </c>
      <c r="H24" s="188" t="e">
        <f>VLOOKUP(rngInvoice,InvoicesMain[],6)</f>
        <v>#N/A</v>
      </c>
      <c r="K24" s="93" t="s">
        <v>17</v>
      </c>
      <c r="L24" s="48" t="e">
        <f>VLOOKUP(rngInvoice,InvoicesMain[],6)</f>
        <v>#N/A</v>
      </c>
    </row>
    <row r="25" spans="2:12" ht="18" customHeight="1" x14ac:dyDescent="0.2">
      <c r="B25" s="97"/>
      <c r="C25" s="186" t="e">
        <f>VLOOKUP(rngInvoice,InvoicesMain[],6)</f>
        <v>#N/A</v>
      </c>
      <c r="D25" s="187" t="e">
        <f>VLOOKUP(rngInvoice,InvoicesMain[],6)</f>
        <v>#N/A</v>
      </c>
      <c r="E25" s="187" t="e">
        <f>VLOOKUP(rngInvoice,InvoicesMain[],6)</f>
        <v>#N/A</v>
      </c>
      <c r="F25" s="187" t="e">
        <f>VLOOKUP(rngInvoice,InvoicesMain[],6)</f>
        <v>#N/A</v>
      </c>
      <c r="G25" s="187" t="e">
        <f>VLOOKUP(rngInvoice,InvoicesMain[],6)</f>
        <v>#N/A</v>
      </c>
      <c r="H25" s="188" t="e">
        <f>VLOOKUP(rngInvoice,InvoicesMain[],6)</f>
        <v>#N/A</v>
      </c>
      <c r="I25" s="98"/>
      <c r="J25" s="73"/>
      <c r="K25" s="94" t="s">
        <v>1</v>
      </c>
      <c r="L25" s="95" t="e">
        <f>(L22+L24)</f>
        <v>#N/A</v>
      </c>
    </row>
    <row r="26" spans="2:12" ht="18" customHeight="1" x14ac:dyDescent="0.2">
      <c r="C26" s="189" t="e">
        <f>VLOOKUP(rngInvoice,InvoicesMain[],6)</f>
        <v>#N/A</v>
      </c>
      <c r="D26" s="190" t="e">
        <f>VLOOKUP(rngInvoice,InvoicesMain[],6)</f>
        <v>#N/A</v>
      </c>
      <c r="E26" s="190" t="e">
        <f>VLOOKUP(rngInvoice,InvoicesMain[],6)</f>
        <v>#N/A</v>
      </c>
      <c r="F26" s="190" t="e">
        <f>VLOOKUP(rngInvoice,InvoicesMain[],6)</f>
        <v>#N/A</v>
      </c>
      <c r="G26" s="190" t="e">
        <f>VLOOKUP(rngInvoice,InvoicesMain[],6)</f>
        <v>#N/A</v>
      </c>
      <c r="H26" s="191" t="e">
        <f>VLOOKUP(rngInvoice,InvoicesMain[],6)</f>
        <v>#N/A</v>
      </c>
      <c r="K26" s="93" t="s">
        <v>15</v>
      </c>
      <c r="L26" s="49" t="e">
        <f>VLOOKUP(rngInvoice,InvoicesMain[],4)</f>
        <v>#N/A</v>
      </c>
    </row>
    <row r="27" spans="2:12" ht="18" customHeight="1" x14ac:dyDescent="0.2">
      <c r="K27" s="93" t="s">
        <v>77</v>
      </c>
      <c r="L27" s="74" t="e">
        <f>L25-L26</f>
        <v>#N/A</v>
      </c>
    </row>
    <row r="29" spans="2:12" x14ac:dyDescent="0.2"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</row>
    <row r="32" spans="2:12" s="14" customFormat="1" x14ac:dyDescent="0.2">
      <c r="D32" s="11"/>
      <c r="E32" s="11"/>
      <c r="F32" s="11"/>
      <c r="G32" s="11"/>
      <c r="H32" s="11"/>
      <c r="I32" s="11"/>
      <c r="J32" s="11"/>
      <c r="K32" s="11"/>
      <c r="L32" s="11"/>
    </row>
  </sheetData>
  <sheetProtection sheet="1" objects="1" scenarios="1" formatCells="0" formatColumns="0" formatRows="0" selectLockedCells="1" sort="0"/>
  <mergeCells count="36">
    <mergeCell ref="C20:G20"/>
    <mergeCell ref="I20:J20"/>
    <mergeCell ref="C21:G21"/>
    <mergeCell ref="I21:J21"/>
    <mergeCell ref="C23:H26"/>
    <mergeCell ref="C17:G17"/>
    <mergeCell ref="I17:J17"/>
    <mergeCell ref="C18:G18"/>
    <mergeCell ref="I18:J18"/>
    <mergeCell ref="C19:G19"/>
    <mergeCell ref="I19:J19"/>
    <mergeCell ref="C14:G14"/>
    <mergeCell ref="I14:J14"/>
    <mergeCell ref="C15:G15"/>
    <mergeCell ref="I15:J15"/>
    <mergeCell ref="C16:G16"/>
    <mergeCell ref="I16:J16"/>
    <mergeCell ref="C11:G11"/>
    <mergeCell ref="I11:J11"/>
    <mergeCell ref="C12:G12"/>
    <mergeCell ref="I12:J12"/>
    <mergeCell ref="C13:G13"/>
    <mergeCell ref="I13:J13"/>
    <mergeCell ref="C10:G10"/>
    <mergeCell ref="I10:J10"/>
    <mergeCell ref="B1:I1"/>
    <mergeCell ref="B3:C3"/>
    <mergeCell ref="E3:F3"/>
    <mergeCell ref="H3:I3"/>
    <mergeCell ref="C6:E6"/>
    <mergeCell ref="G6:I6"/>
    <mergeCell ref="C7:E7"/>
    <mergeCell ref="G7:I7"/>
    <mergeCell ref="C8:E8"/>
    <mergeCell ref="G8:I8"/>
    <mergeCell ref="I9:J9"/>
  </mergeCells>
  <conditionalFormatting sqref="K22:K24 K26 C10:G10 B16:K21 B11:G15">
    <cfRule type="expression" dxfId="31" priority="9">
      <formula>MOD(ROW(),2)=0</formula>
    </cfRule>
  </conditionalFormatting>
  <conditionalFormatting sqref="L10:L21">
    <cfRule type="expression" dxfId="30" priority="7">
      <formula>MOD(ROW(),2)=0</formula>
    </cfRule>
    <cfRule type="expression" dxfId="29" priority="8">
      <formula>MOD(ROW(),2)=1</formula>
    </cfRule>
  </conditionalFormatting>
  <conditionalFormatting sqref="B10 H10:K15">
    <cfRule type="expression" dxfId="28" priority="6">
      <formula>MOD(ROW(),2)=0</formula>
    </cfRule>
  </conditionalFormatting>
  <conditionalFormatting sqref="L22:L24 L26">
    <cfRule type="expression" dxfId="27" priority="4">
      <formula>MOD(ROW(),2)=1</formula>
    </cfRule>
    <cfRule type="expression" dxfId="26" priority="5">
      <formula>MOD(ROW(),2)=0</formula>
    </cfRule>
  </conditionalFormatting>
  <conditionalFormatting sqref="K27">
    <cfRule type="expression" dxfId="25" priority="3">
      <formula>MOD(ROW(),2)=0</formula>
    </cfRule>
  </conditionalFormatting>
  <conditionalFormatting sqref="L27">
    <cfRule type="expression" dxfId="24" priority="1">
      <formula>MOD(ROW(),2)=1</formula>
    </cfRule>
    <cfRule type="expression" dxfId="23" priority="2">
      <formula>MOD(ROW(),2)=0</formula>
    </cfRule>
  </conditionalFormatting>
  <dataValidations count="1">
    <dataValidation type="list" allowBlank="1" showInputMessage="1" showErrorMessage="1" errorTitle="Invalid Data" error="Please select and Invoice number from this list. If your invoice isn't shown, check the worksheet named Invoices - Main." sqref="L6">
      <formula1>Invoice_No</formula1>
    </dataValidation>
  </dataValidations>
  <printOptions horizontalCentered="1"/>
  <pageMargins left="0.7" right="0.7" top="1" bottom="1" header="0.3" footer="0.3"/>
  <pageSetup scale="82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C6"/>
  <sheetViews>
    <sheetView workbookViewId="0">
      <selection activeCell="C2" sqref="C2"/>
    </sheetView>
  </sheetViews>
  <sheetFormatPr defaultRowHeight="12.75" x14ac:dyDescent="0.2"/>
  <cols>
    <col min="3" max="3" width="14.28515625" bestFit="1" customWidth="1"/>
  </cols>
  <sheetData>
    <row r="2" spans="3:3" x14ac:dyDescent="0.2">
      <c r="C2" t="s">
        <v>91</v>
      </c>
    </row>
    <row r="5" spans="3:3" x14ac:dyDescent="0.2">
      <c r="C5" t="str">
        <f>VLOOKUP(C2,InvoicesMain[],2,0)</f>
        <v>Punjab Auots</v>
      </c>
    </row>
    <row r="6" spans="3:3" x14ac:dyDescent="0.2">
      <c r="C6" t="str">
        <f>VLOOKUP(C2,InvoicesMain[],2,0)</f>
        <v>Punjab Auots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'Invoices - Main'!$B$4:$B$60</xm:f>
          </x14:formula1>
          <xm:sqref>C2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2C1C91FC-83A2-4768-8982-51E97B215BD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</vt:i4>
      </vt:variant>
    </vt:vector>
  </HeadingPairs>
  <TitlesOfParts>
    <vt:vector size="23" baseType="lpstr">
      <vt:lpstr>Invoice Entry</vt:lpstr>
      <vt:lpstr>Inventory_List</vt:lpstr>
      <vt:lpstr>Customers</vt:lpstr>
      <vt:lpstr>Invoices - Main</vt:lpstr>
      <vt:lpstr>Invoice Details</vt:lpstr>
      <vt:lpstr>Invoice</vt:lpstr>
      <vt:lpstr>Invoice (2)</vt:lpstr>
      <vt:lpstr>Sheet2</vt:lpstr>
      <vt:lpstr>'Invoice (2)'!CompanyName</vt:lpstr>
      <vt:lpstr>CompanyName</vt:lpstr>
      <vt:lpstr>'Invoice (2)'!CustomerLookup</vt:lpstr>
      <vt:lpstr>CustomerLookup</vt:lpstr>
      <vt:lpstr>Discount</vt:lpstr>
      <vt:lpstr>'Invoice (2)'!Invoice_No</vt:lpstr>
      <vt:lpstr>Invoice_No</vt:lpstr>
      <vt:lpstr>Invoice!Print_Area</vt:lpstr>
      <vt:lpstr>'Invoice (2)'!Print_Area</vt:lpstr>
      <vt:lpstr>Customers!Print_Titles</vt:lpstr>
      <vt:lpstr>'Invoice Details'!Print_Titles</vt:lpstr>
      <vt:lpstr>'Invoices - Main'!Print_Titles</vt:lpstr>
      <vt:lpstr>'Invoice (2)'!rngInvoice</vt:lpstr>
      <vt:lpstr>rngInvoice</vt:lpstr>
      <vt:lpstr>valHighlight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/>
  <cp:lastModifiedBy/>
  <dcterms:created xsi:type="dcterms:W3CDTF">2015-03-29T19:23:58Z</dcterms:created>
  <dcterms:modified xsi:type="dcterms:W3CDTF">2018-10-20T10:30:41Z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TC031076589991</vt:lpwstr>
  </property>
</Properties>
</file>